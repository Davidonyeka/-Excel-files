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mc:AlternateContent xmlns:mc="http://schemas.openxmlformats.org/markup-compatibility/2006">
    <mc:Choice Requires="x15">
      <x15ac:absPath xmlns:x15ac="http://schemas.microsoft.com/office/spreadsheetml/2010/11/ac" url="C:\Users\davon\Documents\"/>
    </mc:Choice>
  </mc:AlternateContent>
  <xr:revisionPtr revIDLastSave="0" documentId="13_ncr:1_{B282CBA0-3724-440B-B50E-AAF7D020C807}" xr6:coauthVersionLast="47" xr6:coauthVersionMax="47" xr10:uidLastSave="{00000000-0000-0000-0000-000000000000}"/>
  <bookViews>
    <workbookView xWindow="-108" yWindow="-108" windowWidth="23256" windowHeight="12456" activeTab="1" xr2:uid="{EE119515-CA86-4EB9-9ED1-62C8464BADC8}"/>
  </bookViews>
  <sheets>
    <sheet name="KPIs" sheetId="3" r:id="rId1"/>
    <sheet name="DASHBOARD" sheetId="2" r:id="rId2"/>
  </sheets>
  <definedNames>
    <definedName name="Slicer_Country">#N/A</definedName>
    <definedName name="Slicer_Product">#N/A</definedName>
    <definedName name="Slicer_Segment">#N/A</definedName>
    <definedName name="Slicer_Year">#N/A</definedName>
    <definedName name="Timeline_Date">#N/A</definedName>
  </definedNames>
  <calcPr calcId="191029"/>
  <pivotCaches>
    <pivotCache cacheId="230" r:id="rId3"/>
    <pivotCache cacheId="233" r:id="rId4"/>
    <pivotCache cacheId="236" r:id="rId5"/>
    <pivotCache cacheId="239" r:id="rId6"/>
    <pivotCache cacheId="242" r:id="rId7"/>
    <pivotCache cacheId="245" r:id="rId8"/>
    <pivotCache cacheId="248" r:id="rId9"/>
    <pivotCache cacheId="251" r:id="rId10"/>
    <pivotCache cacheId="254" r:id="rId11"/>
    <pivotCache cacheId="257" r:id="rId12"/>
    <pivotCache cacheId="260" r:id="rId13"/>
  </pivotCaches>
  <extLst>
    <ext xmlns:x14="http://schemas.microsoft.com/office/spreadsheetml/2009/9/main" uri="{876F7934-8845-4945-9796-88D515C7AA90}">
      <x14:pivotCaches>
        <pivotCache cacheId="3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e2bb0276-7ed1-45e8-a188-9316e7edf6a3" name="Sheet1" connection="Excel financial data"/>
        </x15:modelTables>
        <x15:extLst>
          <ext xmlns:x16="http://schemas.microsoft.com/office/spreadsheetml/2014/11/main" uri="{9835A34E-60A6-4A7C-AAB8-D5F71C897F49}">
            <x16:modelTimeGroupings>
              <x16:modelTimeGrouping tableName="Sheet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7AF655-E0E9-4C98-8B62-A57C829AFF37}" name="Excel financial data" type="100" refreshedVersion="8">
    <extLst>
      <ext xmlns:x15="http://schemas.microsoft.com/office/spreadsheetml/2010/11/main" uri="{DE250136-89BD-433C-8126-D09CA5730AF9}">
        <x15:connection id="983008e8-e22b-419a-91ee-be9d238d89b3"/>
      </ext>
    </extLst>
  </connection>
  <connection id="2" xr16:uid="{572023A7-F652-41D0-BF06-C77F46E7655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<sst xmlns="http://schemas.openxmlformats.org/spreadsheetml/2006/main" count="112" uniqueCount="56">
  <si>
    <t>Grand Total</t>
  </si>
  <si>
    <t>2014</t>
  </si>
  <si>
    <t>2013</t>
  </si>
  <si>
    <t>Row Labels</t>
  </si>
  <si>
    <t>Canada</t>
  </si>
  <si>
    <t>France</t>
  </si>
  <si>
    <t>Germany</t>
  </si>
  <si>
    <t>Mexico</t>
  </si>
  <si>
    <t>United States of America</t>
  </si>
  <si>
    <t>Average of Profit</t>
  </si>
  <si>
    <t>Amarilla</t>
  </si>
  <si>
    <t>Carretera</t>
  </si>
  <si>
    <t>Montana</t>
  </si>
  <si>
    <t>Paseo</t>
  </si>
  <si>
    <t>Velo</t>
  </si>
  <si>
    <t>VTT</t>
  </si>
  <si>
    <t>Units Sold</t>
  </si>
  <si>
    <t>Sum of Gross Sales</t>
  </si>
  <si>
    <t>April</t>
  </si>
  <si>
    <t>August</t>
  </si>
  <si>
    <t>December</t>
  </si>
  <si>
    <t>February</t>
  </si>
  <si>
    <t>January</t>
  </si>
  <si>
    <t>July</t>
  </si>
  <si>
    <t>June</t>
  </si>
  <si>
    <t>March</t>
  </si>
  <si>
    <t>May</t>
  </si>
  <si>
    <t>November</t>
  </si>
  <si>
    <t>October</t>
  </si>
  <si>
    <t>September</t>
  </si>
  <si>
    <t>Channel Partners</t>
  </si>
  <si>
    <t>Enterprise</t>
  </si>
  <si>
    <t>Government</t>
  </si>
  <si>
    <t>Midmarket</t>
  </si>
  <si>
    <t>Small Business</t>
  </si>
  <si>
    <t>Gross Sales</t>
  </si>
  <si>
    <t>SALES PERFORMANCE DASHBOARD</t>
  </si>
  <si>
    <t>Sum of Profit</t>
  </si>
  <si>
    <t>Sum of Units Sold</t>
  </si>
  <si>
    <t>Sum of Discounts</t>
  </si>
  <si>
    <t>Count of Product</t>
  </si>
  <si>
    <t>1. YEARLY TOTAL PROFIT PER UNIT SOLD</t>
  </si>
  <si>
    <t>2. HIGHEST AVERAGE PROFIT BY COUNTRY</t>
  </si>
  <si>
    <t>3. LOWEST AVERAGE PROFIT BY PRODUCTS</t>
  </si>
  <si>
    <t>4. GROSS SALES PER MONTH</t>
  </si>
  <si>
    <t>5. GROSS SALES BY SEGMENT</t>
  </si>
  <si>
    <t>6. YEARLY GROSS SALES</t>
  </si>
  <si>
    <t>7. DISCOUNT BY PRODUCTS</t>
  </si>
  <si>
    <t>9. COUNTRIES YEARLY GROSS SALES</t>
  </si>
  <si>
    <t>Years</t>
  </si>
  <si>
    <t>Total Sales</t>
  </si>
  <si>
    <t>Products</t>
  </si>
  <si>
    <t>Total Units Sold</t>
  </si>
  <si>
    <t>Country</t>
  </si>
  <si>
    <t>8. TOTAL UNITS SOLD BY PRODUCT</t>
  </si>
  <si>
    <t>10. TOTAL UNITS SOLD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</si>
</sst>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quot;₦&quot;#,##0.00"/>
    <numFmt numFmtId="164" formatCode="&quot;₦&quot;#,##0.00;\-&quot;₦&quot;#,##0.00;&quot;₦&quot;#,##0.00"/>
  </numFmts>
  <fonts count="10" x14ac:knownFonts="1">
    <font>
      <sz val="11"/>
      <color theme="1"/>
      <name val="Aptos Narrow"/>
      <family val="2"/>
      <scheme val="minor"/>
    </font>
    <font>
      <b/>
      <sz val="11"/>
      <color theme="1"/>
      <name val="Aptos Narrow"/>
      <family val="2"/>
      <scheme val="minor"/>
    </font>
    <font>
      <b/>
      <sz val="11"/>
      <color theme="3"/>
      <name val="Arial Black"/>
      <family val="2"/>
    </font>
    <font>
      <b/>
      <sz val="11"/>
      <color theme="1"/>
      <name val="Arial Black"/>
      <family val="2"/>
    </font>
    <font>
      <sz val="22"/>
      <color theme="2"/>
      <name val="Arial Black"/>
      <family val="2"/>
    </font>
    <font>
      <sz val="8"/>
      <name val="Aptos Narrow"/>
      <family val="2"/>
      <scheme val="minor"/>
    </font>
    <font>
      <b/>
      <sz val="10"/>
      <color theme="1"/>
      <name val="Arial Black"/>
      <family val="2"/>
    </font>
    <font>
      <sz val="10"/>
      <color theme="1"/>
      <name val="Arial Black"/>
      <family val="2"/>
    </font>
    <font>
      <sz val="9"/>
      <color theme="1"/>
      <name val="Arial Black"/>
      <family val="2"/>
    </font>
    <font>
      <sz val="7.5"/>
      <color theme="1"/>
      <name val="Arial Black"/>
      <family val="2"/>
    </font>
  </fonts>
  <fills count="5">
    <fill>
      <patternFill patternType="none"/>
    </fill>
    <fill>
      <patternFill patternType="gray125"/>
    </fill>
    <fill>
      <patternFill patternType="solid">
        <fgColor theme="4" tint="0.39997558519241921"/>
        <bgColor indexed="64"/>
      </patternFill>
    </fill>
    <fill>
      <patternFill patternType="solid">
        <fgColor theme="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xf numFmtId="0" fontId="0" fillId="2" borderId="0" xfId="0" applyFill="1"/>
    <xf numFmtId="0" fontId="1" fillId="2" borderId="0" xfId="0" applyFont="1" applyFill="1" applyAlignment="1">
      <alignment horizontal="right"/>
    </xf>
    <xf numFmtId="0" fontId="2" fillId="2" borderId="0" xfId="0" applyFont="1" applyFill="1"/>
    <xf numFmtId="0" fontId="3" fillId="2" borderId="0" xfId="0" applyFont="1" applyFill="1"/>
    <xf numFmtId="0" fontId="3" fillId="2" borderId="0" xfId="0" applyFont="1" applyFill="1" applyAlignment="1">
      <alignment horizontal="center"/>
    </xf>
    <xf numFmtId="0" fontId="4" fillId="3" borderId="0" xfId="0" applyFont="1" applyFill="1" applyAlignment="1">
      <alignment horizontal="center"/>
    </xf>
    <xf numFmtId="0" fontId="6" fillId="4" borderId="0" xfId="0" applyFont="1" applyFill="1" applyAlignment="1">
      <alignment horizontal="center"/>
    </xf>
    <xf numFmtId="0" fontId="0" fillId="4" borderId="0" xfId="0" applyFill="1"/>
    <xf numFmtId="0" fontId="7" fillId="4" borderId="0" xfId="0" applyFont="1" applyFill="1" applyAlignment="1">
      <alignment horizontal="center"/>
    </xf>
    <xf numFmtId="0" fontId="0" fillId="4" borderId="0" xfId="0" applyFill="1" applyAlignment="1">
      <alignment horizontal="left"/>
    </xf>
    <xf numFmtId="7" fontId="0" fillId="4" borderId="0" xfId="0" applyNumberFormat="1" applyFill="1"/>
    <xf numFmtId="0" fontId="9" fillId="4" borderId="0" xfId="0" applyFont="1" applyFill="1" applyAlignment="1">
      <alignment horizontal="center"/>
    </xf>
    <xf numFmtId="0" fontId="7" fillId="4" borderId="0" xfId="0" applyFont="1" applyFill="1"/>
    <xf numFmtId="0" fontId="9" fillId="4" borderId="0" xfId="0" applyFont="1" applyFill="1"/>
    <xf numFmtId="0" fontId="8" fillId="4" borderId="0" xfId="0" applyFont="1" applyFill="1" applyAlignment="1">
      <alignment horizontal="center"/>
    </xf>
    <xf numFmtId="164" fontId="0" fillId="4" borderId="0" xfId="0" applyNumberFormat="1" applyFill="1"/>
    <xf numFmtId="0" fontId="0" fillId="4" borderId="0" xfId="0" applyNumberFormat="1" applyFill="1"/>
  </cellXfs>
  <cellStyles count="1">
    <cellStyle name="Normal" xfId="0" builtinId="0"/>
  </cellStyles>
  <dxfs count="1148">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1/relationships/timelineCache" Target="timelineCaches/timelineCach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3.xml"/><Relationship Id="rId31" Type="http://schemas.openxmlformats.org/officeDocument/2006/relationships/customXml" Target="../customXml/item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2"/>
                </a:solidFill>
                <a:latin typeface="Arial Black" panose="020B0A04020102020204" pitchFamily="34" charset="0"/>
                <a:ea typeface="+mn-ea"/>
                <a:cs typeface="+mn-cs"/>
              </a:defRPr>
            </a:pPr>
            <a:r>
              <a:rPr lang="en-US" sz="1200">
                <a:solidFill>
                  <a:schemeClr val="tx2"/>
                </a:solidFill>
                <a:latin typeface="Arial Black" panose="020B0A04020102020204" pitchFamily="34" charset="0"/>
              </a:rPr>
              <a:t>Total</a:t>
            </a:r>
            <a:r>
              <a:rPr lang="en-US" sz="1200" baseline="0">
                <a:solidFill>
                  <a:schemeClr val="tx2"/>
                </a:solidFill>
                <a:latin typeface="Arial Black" panose="020B0A04020102020204" pitchFamily="34" charset="0"/>
              </a:rPr>
              <a:t> Profit per unit sold</a:t>
            </a:r>
            <a:endParaRPr lang="en-US" sz="1200">
              <a:solidFill>
                <a:schemeClr val="tx2"/>
              </a:solidFill>
              <a:latin typeface="Arial Black" panose="020B0A04020102020204" pitchFamily="34" charset="0"/>
            </a:endParaRPr>
          </a:p>
        </c:rich>
      </c:tx>
      <c:layout>
        <c:manualLayout>
          <c:xMode val="edge"/>
          <c:yMode val="edge"/>
          <c:x val="0.17666138888888888"/>
          <c:y val="3.023809523809523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Arial Black" panose="020B0A04020102020204" pitchFamily="34" charset="0"/>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 Profit</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915-46EB-8B47-F454F6F1D4E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915-46EB-8B47-F454F6F1D4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2013</c:v>
              </c:pt>
              <c:pt idx="1">
                <c:v>2014</c:v>
              </c:pt>
            </c:strLit>
          </c:cat>
          <c:val>
            <c:numLit>
              <c:formatCode>General</c:formatCode>
              <c:ptCount val="2"/>
              <c:pt idx="0">
                <c:v>3856812.32</c:v>
              </c:pt>
              <c:pt idx="1">
                <c:v>12968229.970000001</c:v>
              </c:pt>
            </c:numLit>
          </c:val>
          <c:extLst>
            <c:ext xmlns:c16="http://schemas.microsoft.com/office/drawing/2014/chart" uri="{C3380CC4-5D6E-409C-BE32-E72D297353CC}">
              <c16:uniqueId val="{00000004-0915-46EB-8B47-F454F6F1D4E8}"/>
            </c:ext>
          </c:extLst>
        </c:ser>
        <c:ser>
          <c:idx val="1"/>
          <c:order val="1"/>
          <c:tx>
            <c:v>Series2</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0915-46EB-8B47-F454F6F1D4E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0915-46EB-8B47-F454F6F1D4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2013</c:v>
              </c:pt>
              <c:pt idx="1">
                <c:v>2014</c:v>
              </c:pt>
            </c:strLit>
          </c:cat>
          <c:val>
            <c:numLit>
              <c:formatCode>General</c:formatCode>
              <c:ptCount val="2"/>
              <c:pt idx="0">
                <c:v>260984</c:v>
              </c:pt>
              <c:pt idx="1">
                <c:v>846793</c:v>
              </c:pt>
            </c:numLit>
          </c:val>
          <c:extLst>
            <c:ext xmlns:c16="http://schemas.microsoft.com/office/drawing/2014/chart" uri="{C3380CC4-5D6E-409C-BE32-E72D297353CC}">
              <c16:uniqueId val="{00000009-0915-46EB-8B47-F454F6F1D4E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pPr>
      <a:endParaRPr lang="en-N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[PROJECT.xlsx]KPIs!PivotTable2</c:name>
    <c:fmtId val="6"/>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009444444444456E-2"/>
          <c:y val="5.5436507936507937E-2"/>
          <c:w val="0.66177194444444443"/>
          <c:h val="0.65445158730158726"/>
        </c:manualLayout>
      </c:layout>
      <c:barChart>
        <c:barDir val="col"/>
        <c:grouping val="clustered"/>
        <c:varyColors val="0"/>
        <c:ser>
          <c:idx val="0"/>
          <c:order val="0"/>
          <c:tx>
            <c:strRef>
              <c:f>KPIs!$F$4</c:f>
              <c:strCache>
                <c:ptCount val="1"/>
                <c:pt idx="0">
                  <c:v>Units Sold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KPIs!$E$5:$E$10</c:f>
              <c:strCache>
                <c:ptCount val="5"/>
                <c:pt idx="0">
                  <c:v>Germany</c:v>
                </c:pt>
                <c:pt idx="1">
                  <c:v>France</c:v>
                </c:pt>
                <c:pt idx="2">
                  <c:v>Canada</c:v>
                </c:pt>
                <c:pt idx="3">
                  <c:v>United States of America</c:v>
                </c:pt>
                <c:pt idx="4">
                  <c:v>Mexico</c:v>
                </c:pt>
              </c:strCache>
            </c:strRef>
          </c:cat>
          <c:val>
            <c:numRef>
              <c:f>KPIs!$F$5:$F$10</c:f>
              <c:numCache>
                <c:formatCode>General</c:formatCode>
                <c:ptCount val="5"/>
                <c:pt idx="0">
                  <c:v>197880</c:v>
                </c:pt>
                <c:pt idx="1">
                  <c:v>238242</c:v>
                </c:pt>
                <c:pt idx="2">
                  <c:v>243859.5</c:v>
                </c:pt>
                <c:pt idx="3">
                  <c:v>228313.5</c:v>
                </c:pt>
                <c:pt idx="4">
                  <c:v>199482</c:v>
                </c:pt>
              </c:numCache>
            </c:numRef>
          </c:val>
          <c:extLst>
            <c:ext xmlns:c16="http://schemas.microsoft.com/office/drawing/2014/chart" uri="{C3380CC4-5D6E-409C-BE32-E72D297353CC}">
              <c16:uniqueId val="{00000000-002F-429C-9F8B-0C18AB189471}"/>
            </c:ext>
          </c:extLst>
        </c:ser>
        <c:ser>
          <c:idx val="1"/>
          <c:order val="1"/>
          <c:tx>
            <c:strRef>
              <c:f>KPIs!$G$4</c:f>
              <c:strCache>
                <c:ptCount val="1"/>
                <c:pt idx="0">
                  <c:v>Average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KPIs!$E$5:$E$10</c:f>
              <c:strCache>
                <c:ptCount val="5"/>
                <c:pt idx="0">
                  <c:v>Germany</c:v>
                </c:pt>
                <c:pt idx="1">
                  <c:v>France</c:v>
                </c:pt>
                <c:pt idx="2">
                  <c:v>Canada</c:v>
                </c:pt>
                <c:pt idx="3">
                  <c:v>United States of America</c:v>
                </c:pt>
                <c:pt idx="4">
                  <c:v>Mexico</c:v>
                </c:pt>
              </c:strCache>
            </c:strRef>
          </c:cat>
          <c:val>
            <c:numRef>
              <c:f>KPIs!$G$5:$G$10</c:f>
              <c:numCache>
                <c:formatCode>"₦"#,##0.00_);\("₦"#,##0.00\)</c:formatCode>
                <c:ptCount val="5"/>
                <c:pt idx="0">
                  <c:v>28396.19</c:v>
                </c:pt>
                <c:pt idx="1">
                  <c:v>28349.116699999999</c:v>
                </c:pt>
                <c:pt idx="2">
                  <c:v>26672.62</c:v>
                </c:pt>
                <c:pt idx="3">
                  <c:v>22932.4218</c:v>
                </c:pt>
                <c:pt idx="4">
                  <c:v>22226.927500000002</c:v>
                </c:pt>
              </c:numCache>
            </c:numRef>
          </c:val>
          <c:extLst>
            <c:ext xmlns:c16="http://schemas.microsoft.com/office/drawing/2014/chart" uri="{C3380CC4-5D6E-409C-BE32-E72D297353CC}">
              <c16:uniqueId val="{00000001-002F-429C-9F8B-0C18AB189471}"/>
            </c:ext>
          </c:extLst>
        </c:ser>
        <c:dLbls>
          <c:dLblPos val="outEnd"/>
          <c:showLegendKey val="0"/>
          <c:showVal val="1"/>
          <c:showCatName val="0"/>
          <c:showSerName val="0"/>
          <c:showPercent val="0"/>
          <c:showBubbleSize val="0"/>
        </c:dLbls>
        <c:gapWidth val="444"/>
        <c:overlap val="-90"/>
        <c:axId val="1096223679"/>
        <c:axId val="1756380335"/>
      </c:barChart>
      <c:catAx>
        <c:axId val="1096223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2"/>
                </a:solidFill>
                <a:latin typeface="+mn-lt"/>
                <a:ea typeface="+mn-ea"/>
                <a:cs typeface="+mn-cs"/>
              </a:defRPr>
            </a:pPr>
            <a:endParaRPr lang="en-NG"/>
          </a:p>
        </c:txPr>
        <c:crossAx val="1756380335"/>
        <c:crosses val="autoZero"/>
        <c:auto val="1"/>
        <c:lblAlgn val="ctr"/>
        <c:lblOffset val="100"/>
        <c:noMultiLvlLbl val="0"/>
      </c:catAx>
      <c:valAx>
        <c:axId val="1756380335"/>
        <c:scaling>
          <c:orientation val="minMax"/>
        </c:scaling>
        <c:delete val="1"/>
        <c:axPos val="l"/>
        <c:numFmt formatCode="General" sourceLinked="1"/>
        <c:majorTickMark val="none"/>
        <c:minorTickMark val="none"/>
        <c:tickLblPos val="nextTo"/>
        <c:crossAx val="1096223679"/>
        <c:crosses val="autoZero"/>
        <c:crossBetween val="between"/>
      </c:valAx>
      <c:spPr>
        <a:noFill/>
        <a:ln>
          <a:solidFill>
            <a:schemeClr val="tx2">
              <a:alpha val="0"/>
            </a:schemeClr>
          </a:solidFill>
        </a:ln>
        <a:effectLst/>
      </c:spPr>
    </c:plotArea>
    <c:legend>
      <c:legendPos val="r"/>
      <c:layout>
        <c:manualLayout>
          <c:xMode val="edge"/>
          <c:yMode val="edge"/>
          <c:x val="0.7387258333333333"/>
          <c:y val="0.41495476190476194"/>
          <c:w val="0.26127416666666664"/>
          <c:h val="0.17009047619047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[PROJECT.xlsx]KPIs!PivotTable9</c:name>
    <c:fmtId val="16"/>
  </c:pivotSource>
  <c:chart>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KPIs!$J$24:$J$28</c:f>
              <c:strCache>
                <c:ptCount val="1"/>
                <c:pt idx="0">
                  <c:v>2013</c:v>
                </c:pt>
              </c:strCache>
            </c:strRef>
          </c:tx>
          <c:spPr>
            <a:solidFill>
              <a:schemeClr val="accent1"/>
            </a:solidFill>
            <a:ln>
              <a:noFill/>
            </a:ln>
            <a:effectLst/>
            <a:sp3d/>
          </c:spPr>
          <c:invertIfNegative val="0"/>
          <c:cat>
            <c:strRef>
              <c:f>KPIs!$I$29:$I$34</c:f>
              <c:strCache>
                <c:ptCount val="5"/>
                <c:pt idx="0">
                  <c:v>United States of America</c:v>
                </c:pt>
                <c:pt idx="1">
                  <c:v>Canada</c:v>
                </c:pt>
                <c:pt idx="2">
                  <c:v>France</c:v>
                </c:pt>
                <c:pt idx="3">
                  <c:v>Germany</c:v>
                </c:pt>
                <c:pt idx="4">
                  <c:v>Mexico</c:v>
                </c:pt>
              </c:strCache>
            </c:strRef>
          </c:cat>
          <c:val>
            <c:numRef>
              <c:f>KPIs!$J$29:$J$34</c:f>
              <c:numCache>
                <c:formatCode>"₦"#,##0.00_);\("₦"#,##0.00\)</c:formatCode>
                <c:ptCount val="5"/>
                <c:pt idx="0">
                  <c:v>5618907</c:v>
                </c:pt>
                <c:pt idx="1">
                  <c:v>5555386</c:v>
                </c:pt>
                <c:pt idx="2">
                  <c:v>5572396</c:v>
                </c:pt>
                <c:pt idx="3">
                  <c:v>6630265</c:v>
                </c:pt>
                <c:pt idx="4">
                  <c:v>5136393</c:v>
                </c:pt>
              </c:numCache>
            </c:numRef>
          </c:val>
          <c:extLst>
            <c:ext xmlns:c16="http://schemas.microsoft.com/office/drawing/2014/chart" uri="{C3380CC4-5D6E-409C-BE32-E72D297353CC}">
              <c16:uniqueId val="{00000003-9F97-484E-9D51-A35C414BFFF8}"/>
            </c:ext>
          </c:extLst>
        </c:ser>
        <c:ser>
          <c:idx val="1"/>
          <c:order val="1"/>
          <c:tx>
            <c:strRef>
              <c:f>KPIs!$K$24:$K$28</c:f>
              <c:strCache>
                <c:ptCount val="1"/>
                <c:pt idx="0">
                  <c:v>2014</c:v>
                </c:pt>
              </c:strCache>
            </c:strRef>
          </c:tx>
          <c:spPr>
            <a:solidFill>
              <a:schemeClr val="accent2"/>
            </a:solidFill>
            <a:ln>
              <a:noFill/>
            </a:ln>
            <a:effectLst/>
            <a:sp3d/>
          </c:spPr>
          <c:invertIfNegative val="0"/>
          <c:cat>
            <c:strRef>
              <c:f>KPIs!$I$29:$I$34</c:f>
              <c:strCache>
                <c:ptCount val="5"/>
                <c:pt idx="0">
                  <c:v>United States of America</c:v>
                </c:pt>
                <c:pt idx="1">
                  <c:v>Canada</c:v>
                </c:pt>
                <c:pt idx="2">
                  <c:v>France</c:v>
                </c:pt>
                <c:pt idx="3">
                  <c:v>Germany</c:v>
                </c:pt>
                <c:pt idx="4">
                  <c:v>Mexico</c:v>
                </c:pt>
              </c:strCache>
            </c:strRef>
          </c:cat>
          <c:val>
            <c:numRef>
              <c:f>KPIs!$K$29:$K$34</c:f>
              <c:numCache>
                <c:formatCode>"₦"#,##0.00_);\("₦"#,##0.00\)</c:formatCode>
                <c:ptCount val="5"/>
                <c:pt idx="0">
                  <c:v>21609451</c:v>
                </c:pt>
                <c:pt idx="1">
                  <c:v>21343182.5</c:v>
                </c:pt>
                <c:pt idx="2">
                  <c:v>20478739.5</c:v>
                </c:pt>
                <c:pt idx="3">
                  <c:v>18250859.5</c:v>
                </c:pt>
                <c:pt idx="4">
                  <c:v>17547491</c:v>
                </c:pt>
              </c:numCache>
            </c:numRef>
          </c:val>
          <c:extLst>
            <c:ext xmlns:c16="http://schemas.microsoft.com/office/drawing/2014/chart" uri="{C3380CC4-5D6E-409C-BE32-E72D297353CC}">
              <c16:uniqueId val="{00000006-9F97-484E-9D51-A35C414BFFF8}"/>
            </c:ext>
          </c:extLst>
        </c:ser>
        <c:dLbls>
          <c:showLegendKey val="0"/>
          <c:showVal val="0"/>
          <c:showCatName val="0"/>
          <c:showSerName val="0"/>
          <c:showPercent val="0"/>
          <c:showBubbleSize val="0"/>
        </c:dLbls>
        <c:gapWidth val="150"/>
        <c:shape val="box"/>
        <c:axId val="1022547759"/>
        <c:axId val="1022549199"/>
        <c:axId val="0"/>
      </c:bar3DChart>
      <c:catAx>
        <c:axId val="1022547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2"/>
                </a:solidFill>
                <a:latin typeface="+mn-lt"/>
                <a:ea typeface="+mn-ea"/>
                <a:cs typeface="+mn-cs"/>
              </a:defRPr>
            </a:pPr>
            <a:endParaRPr lang="en-NG"/>
          </a:p>
        </c:txPr>
        <c:crossAx val="1022549199"/>
        <c:crosses val="autoZero"/>
        <c:auto val="1"/>
        <c:lblAlgn val="ctr"/>
        <c:lblOffset val="100"/>
        <c:noMultiLvlLbl val="0"/>
      </c:catAx>
      <c:valAx>
        <c:axId val="10225491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02254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[PROJECT.xlsx]KPIs!PivotTable7</c:name>
    <c:fmtId val="13"/>
  </c:pivotSource>
  <c:chart>
    <c:title>
      <c:tx>
        <c:rich>
          <a:bodyPr rot="0" spcFirstLastPara="1" vertOverflow="ellipsis" vert="horz" wrap="square" anchor="ctr" anchorCtr="1"/>
          <a:lstStyle/>
          <a:p>
            <a:pPr>
              <a:defRPr sz="1000" b="1" i="0" u="none" strike="noStrike" kern="1200" baseline="0">
                <a:solidFill>
                  <a:schemeClr val="tx2"/>
                </a:solidFill>
                <a:latin typeface="Arial Black" panose="020B0A04020102020204" pitchFamily="34" charset="0"/>
                <a:ea typeface="+mn-ea"/>
                <a:cs typeface="+mn-cs"/>
              </a:defRPr>
            </a:pPr>
            <a:r>
              <a:rPr lang="en-US" sz="1000">
                <a:latin typeface="Arial Black" panose="020B0A04020102020204" pitchFamily="34" charset="0"/>
              </a:rPr>
              <a:t>Discount by Product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Arial Black" panose="020B0A04020102020204" pitchFamily="34" charset="0"/>
              <a:ea typeface="+mn-ea"/>
              <a:cs typeface="+mn-cs"/>
            </a:defRPr>
          </a:pPr>
          <a:endParaRPr lang="en-NG"/>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KPIs!$B$30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KPIs!$A$31:$A$37</c:f>
              <c:strCache>
                <c:ptCount val="6"/>
                <c:pt idx="0">
                  <c:v>Paseo</c:v>
                </c:pt>
                <c:pt idx="1">
                  <c:v>Velo</c:v>
                </c:pt>
                <c:pt idx="2">
                  <c:v>VTT</c:v>
                </c:pt>
                <c:pt idx="3">
                  <c:v>Amarilla</c:v>
                </c:pt>
                <c:pt idx="4">
                  <c:v>Montana</c:v>
                </c:pt>
                <c:pt idx="5">
                  <c:v>Carretera</c:v>
                </c:pt>
              </c:strCache>
            </c:strRef>
          </c:cat>
          <c:val>
            <c:numRef>
              <c:f>KPIs!$B$31:$B$37</c:f>
              <c:numCache>
                <c:formatCode>"₦"#,##0.00_);\("₦"#,##0.00\)</c:formatCode>
                <c:ptCount val="6"/>
                <c:pt idx="0">
                  <c:v>2593567.7400000002</c:v>
                </c:pt>
                <c:pt idx="1">
                  <c:v>1573661.9450000001</c:v>
                </c:pt>
                <c:pt idx="2">
                  <c:v>1453885.14</c:v>
                </c:pt>
                <c:pt idx="3">
                  <c:v>1288522.17</c:v>
                </c:pt>
                <c:pt idx="4">
                  <c:v>1157977.72</c:v>
                </c:pt>
                <c:pt idx="5">
                  <c:v>1119924.4950000001</c:v>
                </c:pt>
              </c:numCache>
            </c:numRef>
          </c:val>
          <c:extLst>
            <c:ext xmlns:c16="http://schemas.microsoft.com/office/drawing/2014/chart" uri="{C3380CC4-5D6E-409C-BE32-E72D297353CC}">
              <c16:uniqueId val="{00000000-307B-432A-A459-B36EAD899859}"/>
            </c:ext>
          </c:extLst>
        </c:ser>
        <c:dLbls>
          <c:showLegendKey val="0"/>
          <c:showVal val="0"/>
          <c:showCatName val="0"/>
          <c:showSerName val="0"/>
          <c:showPercent val="0"/>
          <c:showBubbleSize val="0"/>
        </c:dLbls>
        <c:gapWidth val="65"/>
        <c:shape val="box"/>
        <c:axId val="79553040"/>
        <c:axId val="79552080"/>
        <c:axId val="0"/>
      </c:bar3DChart>
      <c:catAx>
        <c:axId val="795530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2"/>
                </a:solidFill>
                <a:latin typeface="+mn-lt"/>
                <a:ea typeface="+mn-ea"/>
                <a:cs typeface="+mn-cs"/>
              </a:defRPr>
            </a:pPr>
            <a:endParaRPr lang="en-NG"/>
          </a:p>
        </c:txPr>
        <c:crossAx val="79552080"/>
        <c:crosses val="autoZero"/>
        <c:auto val="1"/>
        <c:lblAlgn val="ctr"/>
        <c:lblOffset val="100"/>
        <c:noMultiLvlLbl val="0"/>
      </c:catAx>
      <c:valAx>
        <c:axId val="79552080"/>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795530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[PROJECT.xlsx]KPIs!PivotTable10</c:name>
    <c:fmtId val="6"/>
  </c:pivotSource>
  <c:chart>
    <c:title>
      <c:tx>
        <c:rich>
          <a:bodyPr rot="0" spcFirstLastPara="1" vertOverflow="ellipsis" vert="horz" wrap="square" anchor="ctr" anchorCtr="1"/>
          <a:lstStyle/>
          <a:p>
            <a:pPr>
              <a:defRPr sz="900" b="0" i="0" u="none" strike="noStrike" kern="1200" spc="0" baseline="0">
                <a:solidFill>
                  <a:schemeClr val="tx2"/>
                </a:solidFill>
                <a:latin typeface="Arial Black" panose="020B0A04020102020204" pitchFamily="34" charset="0"/>
                <a:ea typeface="+mn-ea"/>
                <a:cs typeface="+mn-cs"/>
              </a:defRPr>
            </a:pPr>
            <a:r>
              <a:rPr lang="en-US" sz="900">
                <a:latin typeface="Arial Black" panose="020B0A04020102020204" pitchFamily="34" charset="0"/>
              </a:rPr>
              <a:t>Total Units Sold by Product</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2"/>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KPIs!$F$26</c:f>
              <c:strCache>
                <c:ptCount val="1"/>
                <c:pt idx="0">
                  <c:v>Total</c:v>
                </c:pt>
              </c:strCache>
            </c:strRef>
          </c:tx>
          <c:spPr>
            <a:solidFill>
              <a:schemeClr val="accent1"/>
            </a:solidFill>
            <a:ln>
              <a:noFill/>
            </a:ln>
            <a:effectLst/>
            <a:sp3d/>
          </c:spPr>
          <c:invertIfNegative val="0"/>
          <c:cat>
            <c:strRef>
              <c:f>KPIs!$E$27:$E$33</c:f>
              <c:strCache>
                <c:ptCount val="6"/>
                <c:pt idx="0">
                  <c:v>Paseo</c:v>
                </c:pt>
                <c:pt idx="1">
                  <c:v>VTT</c:v>
                </c:pt>
                <c:pt idx="2">
                  <c:v>Velo</c:v>
                </c:pt>
                <c:pt idx="3">
                  <c:v>Amarilla</c:v>
                </c:pt>
                <c:pt idx="4">
                  <c:v>Montana</c:v>
                </c:pt>
                <c:pt idx="5">
                  <c:v>Carretera</c:v>
                </c:pt>
              </c:strCache>
            </c:strRef>
          </c:cat>
          <c:val>
            <c:numRef>
              <c:f>KPIs!$F$27:$F$33</c:f>
              <c:numCache>
                <c:formatCode>General</c:formatCode>
                <c:ptCount val="6"/>
                <c:pt idx="0">
                  <c:v>332492.5</c:v>
                </c:pt>
                <c:pt idx="1">
                  <c:v>166229</c:v>
                </c:pt>
                <c:pt idx="2">
                  <c:v>159124.5</c:v>
                </c:pt>
                <c:pt idx="3">
                  <c:v>153806</c:v>
                </c:pt>
                <c:pt idx="4">
                  <c:v>152485</c:v>
                </c:pt>
                <c:pt idx="5">
                  <c:v>143640</c:v>
                </c:pt>
              </c:numCache>
            </c:numRef>
          </c:val>
          <c:extLst>
            <c:ext xmlns:c16="http://schemas.microsoft.com/office/drawing/2014/chart" uri="{C3380CC4-5D6E-409C-BE32-E72D297353CC}">
              <c16:uniqueId val="{00000000-8287-4E54-8502-DF4933110F39}"/>
            </c:ext>
          </c:extLst>
        </c:ser>
        <c:dLbls>
          <c:showLegendKey val="0"/>
          <c:showVal val="0"/>
          <c:showCatName val="0"/>
          <c:showSerName val="0"/>
          <c:showPercent val="0"/>
          <c:showBubbleSize val="0"/>
        </c:dLbls>
        <c:gapWidth val="150"/>
        <c:shape val="box"/>
        <c:axId val="1547684527"/>
        <c:axId val="1547685007"/>
        <c:axId val="0"/>
      </c:bar3DChart>
      <c:catAx>
        <c:axId val="1547684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47685007"/>
        <c:crosses val="autoZero"/>
        <c:auto val="1"/>
        <c:lblAlgn val="ctr"/>
        <c:lblOffset val="100"/>
        <c:noMultiLvlLbl val="0"/>
      </c:catAx>
      <c:valAx>
        <c:axId val="1547685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4768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[PROJECT.xlsx]KPIs!PivotTable4</c:name>
    <c:fmtId val="3"/>
  </c:pivotSource>
  <c:chart>
    <c:title>
      <c:tx>
        <c:rich>
          <a:bodyPr rot="0" spcFirstLastPara="1" vertOverflow="ellipsis" vert="horz" wrap="square" anchor="ctr" anchorCtr="1"/>
          <a:lstStyle/>
          <a:p>
            <a:pPr>
              <a:defRPr sz="1000" b="0" i="0" u="none" strike="noStrike" kern="1200" spc="0" baseline="0">
                <a:solidFill>
                  <a:schemeClr val="tx2"/>
                </a:solidFill>
                <a:latin typeface="Arial Black" panose="020B0A04020102020204" pitchFamily="34" charset="0"/>
                <a:ea typeface="+mn-ea"/>
                <a:cs typeface="+mn-cs"/>
              </a:defRPr>
            </a:pPr>
            <a:r>
              <a:rPr lang="en-US" sz="1000">
                <a:latin typeface="Arial Black" panose="020B0A04020102020204" pitchFamily="34" charset="0"/>
              </a:rPr>
              <a:t>Gross Sales per Month</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2"/>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KPIs!$B$12</c:f>
              <c:strCache>
                <c:ptCount val="1"/>
                <c:pt idx="0">
                  <c:v>Total</c:v>
                </c:pt>
              </c:strCache>
            </c:strRef>
          </c:tx>
          <c:spPr>
            <a:solidFill>
              <a:schemeClr val="accent1"/>
            </a:solidFill>
            <a:ln>
              <a:noFill/>
            </a:ln>
            <a:effectLst/>
            <a:sp3d/>
          </c:spPr>
          <c:invertIfNegative val="0"/>
          <c:cat>
            <c:strRef>
              <c:f>KPIs!$A$13:$A$25</c:f>
              <c:strCache>
                <c:ptCount val="12"/>
                <c:pt idx="0">
                  <c:v>March</c:v>
                </c:pt>
                <c:pt idx="1">
                  <c:v>August</c:v>
                </c:pt>
                <c:pt idx="2">
                  <c:v>May</c:v>
                </c:pt>
                <c:pt idx="3">
                  <c:v>January</c:v>
                </c:pt>
                <c:pt idx="4">
                  <c:v>April</c:v>
                </c:pt>
                <c:pt idx="5">
                  <c:v>February</c:v>
                </c:pt>
                <c:pt idx="6">
                  <c:v>July</c:v>
                </c:pt>
                <c:pt idx="7">
                  <c:v>June</c:v>
                </c:pt>
                <c:pt idx="8">
                  <c:v>September</c:v>
                </c:pt>
                <c:pt idx="9">
                  <c:v>November</c:v>
                </c:pt>
                <c:pt idx="10">
                  <c:v>December</c:v>
                </c:pt>
                <c:pt idx="11">
                  <c:v>October</c:v>
                </c:pt>
              </c:strCache>
            </c:strRef>
          </c:cat>
          <c:val>
            <c:numRef>
              <c:f>KPIs!$B$13:$B$25</c:f>
              <c:numCache>
                <c:formatCode>"₦"#,##0.00_);\("₦"#,##0.00\)</c:formatCode>
                <c:ptCount val="12"/>
                <c:pt idx="0">
                  <c:v>6122185</c:v>
                </c:pt>
                <c:pt idx="1">
                  <c:v>6321213</c:v>
                </c:pt>
                <c:pt idx="2">
                  <c:v>6759903</c:v>
                </c:pt>
                <c:pt idx="3">
                  <c:v>7301643.5</c:v>
                </c:pt>
                <c:pt idx="4">
                  <c:v>7424331.5</c:v>
                </c:pt>
                <c:pt idx="5">
                  <c:v>7678524</c:v>
                </c:pt>
                <c:pt idx="6">
                  <c:v>8822890.5</c:v>
                </c:pt>
                <c:pt idx="7">
                  <c:v>10268972</c:v>
                </c:pt>
                <c:pt idx="8">
                  <c:v>11562599</c:v>
                </c:pt>
                <c:pt idx="9">
                  <c:v>14100290</c:v>
                </c:pt>
                <c:pt idx="10">
                  <c:v>18303007</c:v>
                </c:pt>
                <c:pt idx="11">
                  <c:v>23077512</c:v>
                </c:pt>
              </c:numCache>
            </c:numRef>
          </c:val>
          <c:extLst>
            <c:ext xmlns:c16="http://schemas.microsoft.com/office/drawing/2014/chart" uri="{C3380CC4-5D6E-409C-BE32-E72D297353CC}">
              <c16:uniqueId val="{00000000-6967-4339-AC4A-8876168F0AA6}"/>
            </c:ext>
          </c:extLst>
        </c:ser>
        <c:dLbls>
          <c:showLegendKey val="0"/>
          <c:showVal val="0"/>
          <c:showCatName val="0"/>
          <c:showSerName val="0"/>
          <c:showPercent val="0"/>
          <c:showBubbleSize val="0"/>
        </c:dLbls>
        <c:gapWidth val="150"/>
        <c:shape val="box"/>
        <c:axId val="1546290543"/>
        <c:axId val="1546294863"/>
        <c:axId val="0"/>
      </c:bar3DChart>
      <c:catAx>
        <c:axId val="1546290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46294863"/>
        <c:crosses val="autoZero"/>
        <c:auto val="1"/>
        <c:lblAlgn val="ctr"/>
        <c:lblOffset val="100"/>
        <c:noMultiLvlLbl val="0"/>
      </c:catAx>
      <c:valAx>
        <c:axId val="1546294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4629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[PROJECT.xlsx]KPIs!PivotTable5</c:name>
    <c:fmtId val="5"/>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A66AC">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A66AC">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A66AC">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197194444444445"/>
          <c:y val="0.20662698412698413"/>
          <c:w val="0.54955166666666666"/>
          <c:h val="0.73793650793650789"/>
        </c:manualLayout>
      </c:layout>
      <c:bar3DChart>
        <c:barDir val="bar"/>
        <c:grouping val="clustered"/>
        <c:varyColors val="0"/>
        <c:ser>
          <c:idx val="0"/>
          <c:order val="0"/>
          <c:tx>
            <c:strRef>
              <c:f>KPIs!$F$15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A66AC">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KPIs!$E$16:$E$21</c:f>
              <c:strCache>
                <c:ptCount val="5"/>
                <c:pt idx="0">
                  <c:v>Channel Partners</c:v>
                </c:pt>
                <c:pt idx="1">
                  <c:v>Midmarket</c:v>
                </c:pt>
                <c:pt idx="2">
                  <c:v>Enterprise</c:v>
                </c:pt>
                <c:pt idx="3">
                  <c:v>Small Business</c:v>
                </c:pt>
                <c:pt idx="4">
                  <c:v>Government</c:v>
                </c:pt>
              </c:strCache>
            </c:strRef>
          </c:cat>
          <c:val>
            <c:numRef>
              <c:f>KPIs!$F$16:$F$21</c:f>
              <c:numCache>
                <c:formatCode>"₦"#,##0.00_);\("₦"#,##0.00\)</c:formatCode>
                <c:ptCount val="5"/>
                <c:pt idx="0">
                  <c:v>1887846</c:v>
                </c:pt>
                <c:pt idx="1">
                  <c:v>2555280</c:v>
                </c:pt>
                <c:pt idx="2">
                  <c:v>21069000</c:v>
                </c:pt>
                <c:pt idx="3">
                  <c:v>45941700</c:v>
                </c:pt>
                <c:pt idx="4">
                  <c:v>56289244.5</c:v>
                </c:pt>
              </c:numCache>
            </c:numRef>
          </c:val>
          <c:extLst>
            <c:ext xmlns:c16="http://schemas.microsoft.com/office/drawing/2014/chart" uri="{C3380CC4-5D6E-409C-BE32-E72D297353CC}">
              <c16:uniqueId val="{00000000-779C-4D13-A182-0E2533C4B934}"/>
            </c:ext>
          </c:extLst>
        </c:ser>
        <c:dLbls>
          <c:showLegendKey val="0"/>
          <c:showVal val="1"/>
          <c:showCatName val="0"/>
          <c:showSerName val="0"/>
          <c:showPercent val="0"/>
          <c:showBubbleSize val="0"/>
        </c:dLbls>
        <c:gapWidth val="84"/>
        <c:gapDepth val="53"/>
        <c:shape val="box"/>
        <c:axId val="1546294383"/>
        <c:axId val="1843300607"/>
        <c:axId val="0"/>
      </c:bar3DChart>
      <c:catAx>
        <c:axId val="154629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843300607"/>
        <c:crosses val="autoZero"/>
        <c:auto val="1"/>
        <c:lblAlgn val="ctr"/>
        <c:lblOffset val="100"/>
        <c:noMultiLvlLbl val="0"/>
      </c:catAx>
      <c:valAx>
        <c:axId val="1843300607"/>
        <c:scaling>
          <c:orientation val="minMax"/>
        </c:scaling>
        <c:delete val="1"/>
        <c:axPos val="b"/>
        <c:numFmt formatCode="&quot;₦&quot;#,##0.00_);\(&quot;₦&quot;#,##0.00\)" sourceLinked="1"/>
        <c:majorTickMark val="out"/>
        <c:minorTickMark val="none"/>
        <c:tickLblPos val="nextTo"/>
        <c:crossAx val="154629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6350"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[PROJECT.xlsx]KPIs!PivotTable6</c:name>
    <c:fmtId val="27"/>
  </c:pivotSource>
  <c:chart>
    <c:title>
      <c:tx>
        <c:rich>
          <a:bodyPr rot="0" spcFirstLastPara="1" vertOverflow="ellipsis" vert="horz" wrap="square" anchor="ctr" anchorCtr="1"/>
          <a:lstStyle/>
          <a:p>
            <a:pPr>
              <a:defRPr sz="1050" b="1" i="0" u="none" strike="noStrike" kern="1200" baseline="0">
                <a:solidFill>
                  <a:schemeClr val="tx2"/>
                </a:solidFill>
                <a:latin typeface="Arial Black" panose="020B0A04020102020204" pitchFamily="34" charset="0"/>
                <a:ea typeface="+mj-ea"/>
                <a:cs typeface="+mj-cs"/>
              </a:defRPr>
            </a:pPr>
            <a:r>
              <a:rPr lang="en-US" sz="1050">
                <a:latin typeface="Arial Black" panose="020B0A04020102020204" pitchFamily="34" charset="0"/>
              </a:rPr>
              <a:t>Yearly Total Sales</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Arial Black" panose="020B0A04020102020204" pitchFamily="34" charset="0"/>
              <a:ea typeface="+mj-ea"/>
              <a:cs typeface="+mj-cs"/>
            </a:defRPr>
          </a:pPr>
          <a:endParaRPr lang="en-NG"/>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KPIs!$J$16</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KPIs!$I$17:$I$19</c:f>
              <c:strCache>
                <c:ptCount val="2"/>
                <c:pt idx="0">
                  <c:v>2013</c:v>
                </c:pt>
                <c:pt idx="1">
                  <c:v>2014</c:v>
                </c:pt>
              </c:strCache>
            </c:strRef>
          </c:cat>
          <c:val>
            <c:numRef>
              <c:f>KPIs!$J$17:$J$19</c:f>
              <c:numCache>
                <c:formatCode>"₦"#,##0.00_);\("₦"#,##0.00\)</c:formatCode>
                <c:ptCount val="2"/>
                <c:pt idx="0">
                  <c:v>28513347</c:v>
                </c:pt>
                <c:pt idx="1">
                  <c:v>99229723.5</c:v>
                </c:pt>
              </c:numCache>
            </c:numRef>
          </c:val>
          <c:extLst>
            <c:ext xmlns:c16="http://schemas.microsoft.com/office/drawing/2014/chart" uri="{C3380CC4-5D6E-409C-BE32-E72D297353CC}">
              <c16:uniqueId val="{00000000-F4B4-4AE9-AD92-28D2233438F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26150575"/>
        <c:axId val="1826142415"/>
      </c:areaChart>
      <c:catAx>
        <c:axId val="18261505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2"/>
                </a:solidFill>
                <a:latin typeface="+mn-lt"/>
                <a:ea typeface="+mn-ea"/>
                <a:cs typeface="+mn-cs"/>
              </a:defRPr>
            </a:pPr>
            <a:endParaRPr lang="en-NG"/>
          </a:p>
        </c:txPr>
        <c:crossAx val="1826142415"/>
        <c:crosses val="autoZero"/>
        <c:auto val="1"/>
        <c:lblAlgn val="ctr"/>
        <c:lblOffset val="100"/>
        <c:noMultiLvlLbl val="0"/>
      </c:catAx>
      <c:valAx>
        <c:axId val="18261424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8261505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[PROJECT.xlsx]KPIs!PivotTable3</c:name>
    <c:fmtId val="5"/>
  </c:pivotSource>
  <c:chart>
    <c:title>
      <c:tx>
        <c:rich>
          <a:bodyPr rot="0" spcFirstLastPara="1" vertOverflow="ellipsis" vert="horz" wrap="square" anchor="ctr" anchorCtr="1"/>
          <a:lstStyle/>
          <a:p>
            <a:pPr>
              <a:defRPr sz="1000" b="0" i="0" u="none" strike="noStrike" kern="1200" spc="0" baseline="0">
                <a:solidFill>
                  <a:schemeClr val="tx2"/>
                </a:solidFill>
                <a:latin typeface="Arial Black" panose="020B0A04020102020204" pitchFamily="34" charset="0"/>
                <a:ea typeface="+mn-ea"/>
                <a:cs typeface="+mn-cs"/>
              </a:defRPr>
            </a:pPr>
            <a:r>
              <a:rPr lang="en-US" sz="1000">
                <a:latin typeface="Arial Black" panose="020B0A04020102020204" pitchFamily="34" charset="0"/>
              </a:rPr>
              <a:t>Lowest Average Profit by Product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2"/>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lumMod val="20000"/>
              <a:lumOff val="80000"/>
            </a:schemeClr>
          </a:solidFill>
          <a:ln w="25400">
            <a:solidFill>
              <a:schemeClr val="lt1"/>
            </a:solidFill>
          </a:ln>
          <a:effectLst/>
          <a:sp3d contourW="25400">
            <a:contourClr>
              <a:schemeClr val="lt1"/>
            </a:contourClr>
          </a:sp3d>
        </c:spPr>
      </c:pivotFmt>
      <c:pivotFmt>
        <c:idx val="18"/>
        <c:spPr>
          <a:solidFill>
            <a:schemeClr val="accent3">
              <a:lumMod val="60000"/>
              <a:lumOff val="40000"/>
            </a:schemeClr>
          </a:solidFill>
          <a:ln w="25400">
            <a:solidFill>
              <a:schemeClr val="lt1"/>
            </a:solidFill>
          </a:ln>
          <a:effectLst/>
          <a:sp3d contourW="25400">
            <a:contourClr>
              <a:schemeClr val="lt1"/>
            </a:contourClr>
          </a:sp3d>
        </c:spPr>
      </c:pivotFmt>
      <c:pivotFmt>
        <c:idx val="19"/>
        <c:spPr>
          <a:solidFill>
            <a:schemeClr val="tx2"/>
          </a:solidFill>
          <a:ln w="25400">
            <a:solidFill>
              <a:schemeClr val="lt1"/>
            </a:solidFill>
          </a:ln>
          <a:effectLst/>
          <a:sp3d contourW="25400">
            <a:contourClr>
              <a:schemeClr val="lt1"/>
            </a:contourClr>
          </a:sp3d>
        </c:spPr>
      </c:pivotFmt>
      <c:pivotFmt>
        <c:idx val="20"/>
        <c:spPr>
          <a:solidFill>
            <a:schemeClr val="accent3">
              <a:lumMod val="40000"/>
              <a:lumOff val="60000"/>
            </a:schemeClr>
          </a:solidFill>
          <a:ln w="25400">
            <a:solidFill>
              <a:schemeClr val="lt1"/>
            </a:solidFill>
          </a:ln>
          <a:effectLst/>
          <a:sp3d contourW="25400">
            <a:contourClr>
              <a:schemeClr val="lt1"/>
            </a:contourClr>
          </a:sp3d>
        </c:spPr>
      </c:pivotFmt>
      <c:pivotFmt>
        <c:idx val="21"/>
        <c:spPr>
          <a:solidFill>
            <a:schemeClr val="bg2">
              <a:lumMod val="50000"/>
            </a:schemeClr>
          </a:solidFill>
          <a:ln w="25400">
            <a:solidFill>
              <a:schemeClr val="lt1"/>
            </a:solidFill>
          </a:ln>
          <a:effectLst/>
          <a:sp3d contourW="25400">
            <a:contourClr>
              <a:schemeClr val="lt1"/>
            </a:contourClr>
          </a:sp3d>
        </c:spPr>
      </c:pivotFmt>
      <c:pivotFmt>
        <c:idx val="22"/>
        <c:spPr>
          <a:solidFill>
            <a:schemeClr val="bg2">
              <a:lumMod val="75000"/>
            </a:schemeClr>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KPIs!$J$4</c:f>
              <c:strCache>
                <c:ptCount val="1"/>
                <c:pt idx="0">
                  <c:v>Average of Profit</c:v>
                </c:pt>
              </c:strCache>
            </c:strRef>
          </c:tx>
          <c:dPt>
            <c:idx val="0"/>
            <c:bubble3D val="0"/>
            <c:spPr>
              <a:solidFill>
                <a:schemeClr val="accent2">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3FE-4E92-924B-F8D6D105DDC4}"/>
              </c:ext>
            </c:extLst>
          </c:dPt>
          <c:dPt>
            <c:idx val="1"/>
            <c:bubble3D val="0"/>
            <c:spPr>
              <a:solidFill>
                <a:schemeClr val="accent3">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3FE-4E92-924B-F8D6D105DDC4}"/>
              </c:ext>
            </c:extLst>
          </c:dPt>
          <c:dPt>
            <c:idx val="2"/>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33FE-4E92-924B-F8D6D105DDC4}"/>
              </c:ext>
            </c:extLst>
          </c:dPt>
          <c:dPt>
            <c:idx val="3"/>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33FE-4E92-924B-F8D6D105DDC4}"/>
              </c:ext>
            </c:extLst>
          </c:dPt>
          <c:dPt>
            <c:idx val="4"/>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33FE-4E92-924B-F8D6D105DDC4}"/>
              </c:ext>
            </c:extLst>
          </c:dPt>
          <c:dPt>
            <c:idx val="5"/>
            <c:bubble3D val="0"/>
            <c:spPr>
              <a:solidFill>
                <a:schemeClr val="tx2"/>
              </a:solidFill>
              <a:ln w="25400">
                <a:solidFill>
                  <a:schemeClr val="lt1"/>
                </a:solidFill>
              </a:ln>
              <a:effectLst/>
              <a:sp3d contourW="25400">
                <a:contourClr>
                  <a:schemeClr val="lt1"/>
                </a:contourClr>
              </a:sp3d>
            </c:spPr>
            <c:extLst>
              <c:ext xmlns:c16="http://schemas.microsoft.com/office/drawing/2014/chart" uri="{C3380CC4-5D6E-409C-BE32-E72D297353CC}">
                <c16:uniqueId val="{0000000B-33FE-4E92-924B-F8D6D105DDC4}"/>
              </c:ext>
            </c:extLst>
          </c:dPt>
          <c:cat>
            <c:strRef>
              <c:f>KPIs!$I$5:$I$11</c:f>
              <c:strCache>
                <c:ptCount val="6"/>
                <c:pt idx="0">
                  <c:v>Carretera</c:v>
                </c:pt>
                <c:pt idx="1">
                  <c:v>Velo</c:v>
                </c:pt>
                <c:pt idx="2">
                  <c:v>Montana</c:v>
                </c:pt>
                <c:pt idx="3">
                  <c:v>Paseo</c:v>
                </c:pt>
                <c:pt idx="4">
                  <c:v>VTT</c:v>
                </c:pt>
                <c:pt idx="5">
                  <c:v>Amarilla</c:v>
                </c:pt>
              </c:strCache>
            </c:strRef>
          </c:cat>
          <c:val>
            <c:numRef>
              <c:f>KPIs!$J$5:$J$11</c:f>
              <c:numCache>
                <c:formatCode>"₦"#,##0.00_);\("₦"#,##0.00\)</c:formatCode>
                <c:ptCount val="6"/>
                <c:pt idx="0">
                  <c:v>21132.674500000001</c:v>
                </c:pt>
                <c:pt idx="1">
                  <c:v>22697.530200000001</c:v>
                </c:pt>
                <c:pt idx="2">
                  <c:v>23734.6492</c:v>
                </c:pt>
                <c:pt idx="3">
                  <c:v>25653.775600000001</c:v>
                </c:pt>
                <c:pt idx="4">
                  <c:v>29683.797600000002</c:v>
                </c:pt>
                <c:pt idx="5">
                  <c:v>31149.425899999998</c:v>
                </c:pt>
              </c:numCache>
            </c:numRef>
          </c:val>
          <c:extLst>
            <c:ext xmlns:c16="http://schemas.microsoft.com/office/drawing/2014/chart" uri="{C3380CC4-5D6E-409C-BE32-E72D297353CC}">
              <c16:uniqueId val="{00000018-3695-4CE8-952B-1FC81713B2AF}"/>
            </c:ext>
          </c:extLst>
        </c:ser>
        <c:ser>
          <c:idx val="1"/>
          <c:order val="1"/>
          <c:tx>
            <c:strRef>
              <c:f>KPIs!$K$4</c:f>
              <c:strCache>
                <c:ptCount val="1"/>
                <c:pt idx="0">
                  <c:v>Sum of Units Sold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33FE-4E92-924B-F8D6D105DDC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33FE-4E92-924B-F8D6D105DDC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33FE-4E92-924B-F8D6D105DDC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33FE-4E92-924B-F8D6D105DDC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33FE-4E92-924B-F8D6D105DDC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33FE-4E92-924B-F8D6D105DDC4}"/>
              </c:ext>
            </c:extLst>
          </c:dPt>
          <c:cat>
            <c:strRef>
              <c:f>KPIs!$I$5:$I$11</c:f>
              <c:strCache>
                <c:ptCount val="6"/>
                <c:pt idx="0">
                  <c:v>Carretera</c:v>
                </c:pt>
                <c:pt idx="1">
                  <c:v>Velo</c:v>
                </c:pt>
                <c:pt idx="2">
                  <c:v>Montana</c:v>
                </c:pt>
                <c:pt idx="3">
                  <c:v>Paseo</c:v>
                </c:pt>
                <c:pt idx="4">
                  <c:v>VTT</c:v>
                </c:pt>
                <c:pt idx="5">
                  <c:v>Amarilla</c:v>
                </c:pt>
              </c:strCache>
            </c:strRef>
          </c:cat>
          <c:val>
            <c:numRef>
              <c:f>KPIs!$K$5:$K$11</c:f>
              <c:numCache>
                <c:formatCode>General</c:formatCode>
                <c:ptCount val="6"/>
                <c:pt idx="0">
                  <c:v>143640</c:v>
                </c:pt>
                <c:pt idx="1">
                  <c:v>159124.5</c:v>
                </c:pt>
                <c:pt idx="2">
                  <c:v>152485</c:v>
                </c:pt>
                <c:pt idx="3">
                  <c:v>332492.5</c:v>
                </c:pt>
                <c:pt idx="4">
                  <c:v>166229</c:v>
                </c:pt>
                <c:pt idx="5">
                  <c:v>153806</c:v>
                </c:pt>
              </c:numCache>
            </c:numRef>
          </c:val>
          <c:extLst>
            <c:ext xmlns:c16="http://schemas.microsoft.com/office/drawing/2014/chart" uri="{C3380CC4-5D6E-409C-BE32-E72D297353CC}">
              <c16:uniqueId val="{00000019-3695-4CE8-952B-1FC81713B2A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[PROJECT.xlsx]KPIs!PivotTable11</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995583333333334"/>
          <c:y val="0.20158730158730159"/>
          <c:w val="0.52684555555555546"/>
          <c:h val="0.74297619047619035"/>
        </c:manualLayout>
      </c:layout>
      <c:bar3DChart>
        <c:barDir val="bar"/>
        <c:grouping val="stacked"/>
        <c:varyColors val="0"/>
        <c:ser>
          <c:idx val="0"/>
          <c:order val="0"/>
          <c:tx>
            <c:strRef>
              <c:f>KPIs!$J$38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KPIs!$I$39:$I$44</c:f>
              <c:strCache>
                <c:ptCount val="5"/>
                <c:pt idx="0">
                  <c:v>Germany</c:v>
                </c:pt>
                <c:pt idx="1">
                  <c:v>Mexico</c:v>
                </c:pt>
                <c:pt idx="2">
                  <c:v>United States of America</c:v>
                </c:pt>
                <c:pt idx="3">
                  <c:v>France</c:v>
                </c:pt>
                <c:pt idx="4">
                  <c:v>Canada</c:v>
                </c:pt>
              </c:strCache>
            </c:strRef>
          </c:cat>
          <c:val>
            <c:numRef>
              <c:f>KPIs!$J$39:$J$44</c:f>
              <c:numCache>
                <c:formatCode>General</c:formatCode>
                <c:ptCount val="5"/>
                <c:pt idx="0">
                  <c:v>197880</c:v>
                </c:pt>
                <c:pt idx="1">
                  <c:v>199482</c:v>
                </c:pt>
                <c:pt idx="2">
                  <c:v>228313.5</c:v>
                </c:pt>
                <c:pt idx="3">
                  <c:v>238242</c:v>
                </c:pt>
                <c:pt idx="4">
                  <c:v>243859.5</c:v>
                </c:pt>
              </c:numCache>
            </c:numRef>
          </c:val>
          <c:extLst>
            <c:ext xmlns:c16="http://schemas.microsoft.com/office/drawing/2014/chart" uri="{C3380CC4-5D6E-409C-BE32-E72D297353CC}">
              <c16:uniqueId val="{00000000-CA5D-4A4F-B8D8-D2488B657145}"/>
            </c:ext>
          </c:extLst>
        </c:ser>
        <c:dLbls>
          <c:showLegendKey val="0"/>
          <c:showVal val="1"/>
          <c:showCatName val="0"/>
          <c:showSerName val="0"/>
          <c:showPercent val="0"/>
          <c:showBubbleSize val="0"/>
        </c:dLbls>
        <c:gapWidth val="79"/>
        <c:shape val="box"/>
        <c:axId val="1225140288"/>
        <c:axId val="1225140768"/>
        <c:axId val="0"/>
      </c:bar3DChart>
      <c:catAx>
        <c:axId val="122514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2"/>
                </a:solidFill>
                <a:latin typeface="+mn-lt"/>
                <a:ea typeface="+mn-ea"/>
                <a:cs typeface="+mn-cs"/>
              </a:defRPr>
            </a:pPr>
            <a:endParaRPr lang="en-NG"/>
          </a:p>
        </c:txPr>
        <c:crossAx val="1225140768"/>
        <c:crosses val="autoZero"/>
        <c:auto val="1"/>
        <c:lblAlgn val="ctr"/>
        <c:lblOffset val="100"/>
        <c:noMultiLvlLbl val="0"/>
      </c:catAx>
      <c:valAx>
        <c:axId val="1225140768"/>
        <c:scaling>
          <c:orientation val="minMax"/>
        </c:scaling>
        <c:delete val="1"/>
        <c:axPos val="b"/>
        <c:numFmt formatCode="General" sourceLinked="1"/>
        <c:majorTickMark val="none"/>
        <c:minorTickMark val="none"/>
        <c:tickLblPos val="nextTo"/>
        <c:crossAx val="122514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solidFill>
      <a:round/>
    </a:ln>
    <a:effectLst/>
  </c:spPr>
  <c:txPr>
    <a:bodyPr/>
    <a:lstStyle/>
    <a:p>
      <a:pPr>
        <a:defRPr>
          <a:solidFill>
            <a:schemeClr val="tx2"/>
          </a:solidFill>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662940</xdr:colOff>
      <xdr:row>4</xdr:row>
      <xdr:rowOff>53340</xdr:rowOff>
    </xdr:from>
    <xdr:to>
      <xdr:col>9</xdr:col>
      <xdr:colOff>186240</xdr:colOff>
      <xdr:row>18</xdr:row>
      <xdr:rowOff>13020</xdr:rowOff>
    </xdr:to>
    <xdr:graphicFrame macro="">
      <xdr:nvGraphicFramePr>
        <xdr:cNvPr id="11" name="Chart 10">
          <a:extLst>
            <a:ext uri="{FF2B5EF4-FFF2-40B4-BE49-F238E27FC236}">
              <a16:creationId xmlns:a16="http://schemas.microsoft.com/office/drawing/2014/main" id="{D77C1217-3792-4AAF-9EB0-D3B716CFB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251460</xdr:colOff>
      <xdr:row>4</xdr:row>
      <xdr:rowOff>53340</xdr:rowOff>
    </xdr:from>
    <xdr:to>
      <xdr:col>15</xdr:col>
      <xdr:colOff>193860</xdr:colOff>
      <xdr:row>18</xdr:row>
      <xdr:rowOff>13020</xdr:rowOff>
    </xdr:to>
    <xdr:graphicFrame macro="">
      <xdr:nvGraphicFramePr>
        <xdr:cNvPr id="3" name="Chart 2">
          <a:extLst>
            <a:ext uri="{FF2B5EF4-FFF2-40B4-BE49-F238E27FC236}">
              <a16:creationId xmlns:a16="http://schemas.microsoft.com/office/drawing/2014/main" id="{55CAEABD-6433-4609-9C4F-C2238DDCB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220980</xdr:colOff>
      <xdr:row>32</xdr:row>
      <xdr:rowOff>83820</xdr:rowOff>
    </xdr:from>
    <xdr:to>
      <xdr:col>21</xdr:col>
      <xdr:colOff>163380</xdr:colOff>
      <xdr:row>46</xdr:row>
      <xdr:rowOff>5400</xdr:rowOff>
    </xdr:to>
    <xdr:graphicFrame macro="">
      <xdr:nvGraphicFramePr>
        <xdr:cNvPr id="13" name="Chart 12">
          <a:extLst>
            <a:ext uri="{FF2B5EF4-FFF2-40B4-BE49-F238E27FC236}">
              <a16:creationId xmlns:a16="http://schemas.microsoft.com/office/drawing/2014/main" id="{5F46C02E-4EFB-4132-99CD-30C27746D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678180</xdr:colOff>
      <xdr:row>32</xdr:row>
      <xdr:rowOff>76200</xdr:rowOff>
    </xdr:from>
    <xdr:to>
      <xdr:col>9</xdr:col>
      <xdr:colOff>201480</xdr:colOff>
      <xdr:row>45</xdr:row>
      <xdr:rowOff>180660</xdr:rowOff>
    </xdr:to>
    <xdr:graphicFrame macro="">
      <xdr:nvGraphicFramePr>
        <xdr:cNvPr id="14" name="Chart 13">
          <a:extLst>
            <a:ext uri="{FF2B5EF4-FFF2-40B4-BE49-F238E27FC236}">
              <a16:creationId xmlns:a16="http://schemas.microsoft.com/office/drawing/2014/main" id="{4ADB9679-EA71-4284-8178-9ED52CCD3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243840</xdr:colOff>
      <xdr:row>32</xdr:row>
      <xdr:rowOff>91440</xdr:rowOff>
    </xdr:from>
    <xdr:to>
      <xdr:col>15</xdr:col>
      <xdr:colOff>186240</xdr:colOff>
      <xdr:row>46</xdr:row>
      <xdr:rowOff>13020</xdr:rowOff>
    </xdr:to>
    <xdr:graphicFrame macro="">
      <xdr:nvGraphicFramePr>
        <xdr:cNvPr id="9" name="Chart 8">
          <a:extLst>
            <a:ext uri="{FF2B5EF4-FFF2-40B4-BE49-F238E27FC236}">
              <a16:creationId xmlns:a16="http://schemas.microsoft.com/office/drawing/2014/main" id="{86F6C179-182E-4728-9A49-106710878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678180</xdr:colOff>
      <xdr:row>18</xdr:row>
      <xdr:rowOff>99060</xdr:rowOff>
    </xdr:from>
    <xdr:to>
      <xdr:col>9</xdr:col>
      <xdr:colOff>201480</xdr:colOff>
      <xdr:row>31</xdr:row>
      <xdr:rowOff>165420</xdr:rowOff>
    </xdr:to>
    <xdr:graphicFrame macro="">
      <xdr:nvGraphicFramePr>
        <xdr:cNvPr id="10" name="Chart 9">
          <a:extLst>
            <a:ext uri="{FF2B5EF4-FFF2-40B4-BE49-F238E27FC236}">
              <a16:creationId xmlns:a16="http://schemas.microsoft.com/office/drawing/2014/main" id="{61996FBF-2F6C-4EE1-9EF9-EA59F4CC0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251460</xdr:colOff>
      <xdr:row>18</xdr:row>
      <xdr:rowOff>114300</xdr:rowOff>
    </xdr:from>
    <xdr:to>
      <xdr:col>15</xdr:col>
      <xdr:colOff>193860</xdr:colOff>
      <xdr:row>31</xdr:row>
      <xdr:rowOff>180660</xdr:rowOff>
    </xdr:to>
    <xdr:graphicFrame macro="">
      <xdr:nvGraphicFramePr>
        <xdr:cNvPr id="17" name="Chart 16">
          <a:extLst>
            <a:ext uri="{FF2B5EF4-FFF2-40B4-BE49-F238E27FC236}">
              <a16:creationId xmlns:a16="http://schemas.microsoft.com/office/drawing/2014/main" id="{D96832C3-0818-4235-845D-47D14DEF3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251460</xdr:colOff>
      <xdr:row>18</xdr:row>
      <xdr:rowOff>129540</xdr:rowOff>
    </xdr:from>
    <xdr:to>
      <xdr:col>21</xdr:col>
      <xdr:colOff>193860</xdr:colOff>
      <xdr:row>32</xdr:row>
      <xdr:rowOff>13020</xdr:rowOff>
    </xdr:to>
    <xdr:graphicFrame macro="">
      <xdr:nvGraphicFramePr>
        <xdr:cNvPr id="19" name="Chart 18">
          <a:extLst>
            <a:ext uri="{FF2B5EF4-FFF2-40B4-BE49-F238E27FC236}">
              <a16:creationId xmlns:a16="http://schemas.microsoft.com/office/drawing/2014/main" id="{093483C3-4415-4FB0-8343-ACF37C7F6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243840</xdr:colOff>
      <xdr:row>4</xdr:row>
      <xdr:rowOff>60960</xdr:rowOff>
    </xdr:from>
    <xdr:to>
      <xdr:col>21</xdr:col>
      <xdr:colOff>186240</xdr:colOff>
      <xdr:row>18</xdr:row>
      <xdr:rowOff>20640</xdr:rowOff>
    </xdr:to>
    <xdr:graphicFrame macro="">
      <xdr:nvGraphicFramePr>
        <xdr:cNvPr id="20" name="Chart 19">
          <a:extLst>
            <a:ext uri="{FF2B5EF4-FFF2-40B4-BE49-F238E27FC236}">
              <a16:creationId xmlns:a16="http://schemas.microsoft.com/office/drawing/2014/main" id="{12CEA835-0EED-4AED-BF8A-D017B328E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45720</xdr:colOff>
      <xdr:row>4</xdr:row>
      <xdr:rowOff>68580</xdr:rowOff>
    </xdr:from>
    <xdr:to>
      <xdr:col>3</xdr:col>
      <xdr:colOff>556920</xdr:colOff>
      <xdr:row>14</xdr:row>
      <xdr:rowOff>39780</xdr:rowOff>
    </xdr:to>
    <mc:AlternateContent xmlns:mc="http://schemas.openxmlformats.org/markup-compatibility/2006" xmlns:tsle="http://schemas.microsoft.com/office/drawing/2012/timeslicer">
      <mc:Choice Requires="tsle">
        <xdr:graphicFrame macro="">
          <xdr:nvGraphicFramePr>
            <xdr:cNvPr id="21" name="Date">
              <a:extLst>
                <a:ext uri="{FF2B5EF4-FFF2-40B4-BE49-F238E27FC236}">
                  <a16:creationId xmlns:a16="http://schemas.microsoft.com/office/drawing/2014/main" id="{27291D52-90DB-DAAE-9D54-2B4F274DC82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720" y="838200"/>
              <a:ext cx="2340000" cy="18000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0</xdr:col>
      <xdr:colOff>45720</xdr:colOff>
      <xdr:row>24</xdr:row>
      <xdr:rowOff>0</xdr:rowOff>
    </xdr:from>
    <xdr:to>
      <xdr:col>3</xdr:col>
      <xdr:colOff>556920</xdr:colOff>
      <xdr:row>33</xdr:row>
      <xdr:rowOff>154080</xdr:rowOff>
    </xdr:to>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37AFB192-D668-9EBE-AFD3-968139B9D10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5720" y="4503420"/>
              <a:ext cx="2340000" cy="180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14</xdr:row>
      <xdr:rowOff>68580</xdr:rowOff>
    </xdr:from>
    <xdr:to>
      <xdr:col>3</xdr:col>
      <xdr:colOff>556920</xdr:colOff>
      <xdr:row>23</xdr:row>
      <xdr:rowOff>146460</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FF584C7B-4F26-F963-E1B0-30B9D3A02EC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720" y="2667000"/>
              <a:ext cx="2340000" cy="180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33</xdr:row>
      <xdr:rowOff>167640</xdr:rowOff>
    </xdr:from>
    <xdr:to>
      <xdr:col>3</xdr:col>
      <xdr:colOff>564540</xdr:colOff>
      <xdr:row>43</xdr:row>
      <xdr:rowOff>100740</xdr:rowOff>
    </xdr:to>
    <mc:AlternateContent xmlns:mc="http://schemas.openxmlformats.org/markup-compatibility/2006" xmlns:a14="http://schemas.microsoft.com/office/drawing/2010/main">
      <mc:Choice Requires="a14">
        <xdr:graphicFrame macro="">
          <xdr:nvGraphicFramePr>
            <xdr:cNvPr id="27" name="Segment">
              <a:extLst>
                <a:ext uri="{FF2B5EF4-FFF2-40B4-BE49-F238E27FC236}">
                  <a16:creationId xmlns:a16="http://schemas.microsoft.com/office/drawing/2014/main" id="{4210DB3D-EA80-43F4-DA07-187DFB88715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3340" y="6316980"/>
              <a:ext cx="2340000" cy="180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43</xdr:row>
      <xdr:rowOff>114300</xdr:rowOff>
    </xdr:from>
    <xdr:to>
      <xdr:col>3</xdr:col>
      <xdr:colOff>556920</xdr:colOff>
      <xdr:row>53</xdr:row>
      <xdr:rowOff>85500</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0CC275BD-18BA-26A4-4F3D-7D53442342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5720" y="8130540"/>
              <a:ext cx="2340000" cy="180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678180</xdr:colOff>
      <xdr:row>46</xdr:row>
      <xdr:rowOff>53340</xdr:rowOff>
    </xdr:from>
    <xdr:to>
      <xdr:col>9</xdr:col>
      <xdr:colOff>201480</xdr:colOff>
      <xdr:row>60</xdr:row>
      <xdr:rowOff>13020</xdr:rowOff>
    </xdr:to>
    <xdr:graphicFrame macro="">
      <xdr:nvGraphicFramePr>
        <xdr:cNvPr id="29" name="Chart 28">
          <a:extLst>
            <a:ext uri="{FF2B5EF4-FFF2-40B4-BE49-F238E27FC236}">
              <a16:creationId xmlns:a16="http://schemas.microsoft.com/office/drawing/2014/main" id="{1094B1F8-3CBE-442A-A48A-AE3A21B25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0.746</cdr:x>
      <cdr:y>0.79224</cdr:y>
    </cdr:from>
    <cdr:to>
      <cdr:x>1</cdr:x>
      <cdr:y>0.93436</cdr:y>
    </cdr:to>
    <cdr:sp macro="" textlink="">
      <cdr:nvSpPr>
        <cdr:cNvPr id="2" name="TextBox 1">
          <a:extLst xmlns:a="http://schemas.openxmlformats.org/drawingml/2006/main">
            <a:ext uri="{FF2B5EF4-FFF2-40B4-BE49-F238E27FC236}">
              <a16:creationId xmlns:a16="http://schemas.microsoft.com/office/drawing/2014/main" id="{233B4F20-A887-3283-1A7B-63E98EB9F048}"/>
            </a:ext>
          </a:extLst>
        </cdr:cNvPr>
        <cdr:cNvSpPr txBox="1"/>
      </cdr:nvSpPr>
      <cdr:spPr>
        <a:xfrm xmlns:a="http://schemas.openxmlformats.org/drawingml/2006/main">
          <a:off x="2685600" y="1996440"/>
          <a:ext cx="914400" cy="3581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NG" sz="1100"/>
        </a:p>
      </cdr:txBody>
    </cdr:sp>
  </cdr:relSizeAnchor>
  <cdr:relSizeAnchor xmlns:cdr="http://schemas.openxmlformats.org/drawingml/2006/chartDrawing">
    <cdr:from>
      <cdr:x>0.746</cdr:x>
      <cdr:y>0.63714</cdr:y>
    </cdr:from>
    <cdr:to>
      <cdr:x>1</cdr:x>
      <cdr:y>1</cdr:y>
    </cdr:to>
    <cdr:sp macro="" textlink="">
      <cdr:nvSpPr>
        <cdr:cNvPr id="3" name="TextBox 2">
          <a:extLst xmlns:a="http://schemas.openxmlformats.org/drawingml/2006/main">
            <a:ext uri="{FF2B5EF4-FFF2-40B4-BE49-F238E27FC236}">
              <a16:creationId xmlns:a16="http://schemas.microsoft.com/office/drawing/2014/main" id="{2AE2EBC1-1711-2DB0-A9C7-8BB76443D0AC}"/>
            </a:ext>
          </a:extLst>
        </cdr:cNvPr>
        <cdr:cNvSpPr txBox="1"/>
      </cdr:nvSpPr>
      <cdr:spPr>
        <a:xfrm xmlns:a="http://schemas.openxmlformats.org/drawingml/2006/main">
          <a:off x="3048000" y="20421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NG" sz="1100"/>
        </a:p>
      </cdr:txBody>
    </cdr:sp>
  </cdr:relSizeAnchor>
  <cdr:relSizeAnchor xmlns:cdr="http://schemas.openxmlformats.org/drawingml/2006/chartDrawing">
    <cdr:from>
      <cdr:x>0.35983</cdr:x>
      <cdr:y>0.88598</cdr:y>
    </cdr:from>
    <cdr:to>
      <cdr:x>1</cdr:x>
      <cdr:y>0.98879</cdr:y>
    </cdr:to>
    <cdr:sp macro="" textlink="">
      <cdr:nvSpPr>
        <cdr:cNvPr id="4" name="TextBox 3">
          <a:extLst xmlns:a="http://schemas.openxmlformats.org/drawingml/2006/main">
            <a:ext uri="{FF2B5EF4-FFF2-40B4-BE49-F238E27FC236}">
              <a16:creationId xmlns:a16="http://schemas.microsoft.com/office/drawing/2014/main" id="{7CD831B1-54FE-C8F3-1546-027302ED37E6}"/>
            </a:ext>
          </a:extLst>
        </cdr:cNvPr>
        <cdr:cNvSpPr txBox="1"/>
      </cdr:nvSpPr>
      <cdr:spPr>
        <a:xfrm xmlns:a="http://schemas.openxmlformats.org/drawingml/2006/main">
          <a:off x="1295400" y="2232670"/>
          <a:ext cx="2304600" cy="259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900">
              <a:solidFill>
                <a:schemeClr val="tx2"/>
              </a:solidFill>
              <a:latin typeface="Arial Black" panose="020B0A04020102020204" pitchFamily="34" charset="0"/>
            </a:rPr>
            <a:t>Highest Average Profit by Country</a:t>
          </a:r>
          <a:endParaRPr lang="en-NG" sz="900">
            <a:solidFill>
              <a:schemeClr val="tx2"/>
            </a:solidFill>
            <a:latin typeface="Arial Black" panose="020B0A040201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0.49953</cdr:x>
      <cdr:y>0.72874</cdr:y>
    </cdr:from>
    <cdr:to>
      <cdr:x>0.75353</cdr:x>
      <cdr:y>0.92226</cdr:y>
    </cdr:to>
    <cdr:sp macro="" textlink="">
      <cdr:nvSpPr>
        <cdr:cNvPr id="2" name="TextBox 1">
          <a:extLst xmlns:a="http://schemas.openxmlformats.org/drawingml/2006/main">
            <a:ext uri="{FF2B5EF4-FFF2-40B4-BE49-F238E27FC236}">
              <a16:creationId xmlns:a16="http://schemas.microsoft.com/office/drawing/2014/main" id="{BF686B16-9966-0168-58DD-912F2E3FBC96}"/>
            </a:ext>
          </a:extLst>
        </cdr:cNvPr>
        <cdr:cNvSpPr txBox="1"/>
      </cdr:nvSpPr>
      <cdr:spPr>
        <a:xfrm xmlns:a="http://schemas.openxmlformats.org/drawingml/2006/main">
          <a:off x="1798320" y="1836420"/>
          <a:ext cx="914400" cy="4876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NG" sz="1100"/>
        </a:p>
      </cdr:txBody>
    </cdr:sp>
  </cdr:relSizeAnchor>
  <cdr:relSizeAnchor xmlns:cdr="http://schemas.openxmlformats.org/drawingml/2006/chartDrawing">
    <cdr:from>
      <cdr:x>0.51858</cdr:x>
      <cdr:y>0.70152</cdr:y>
    </cdr:from>
    <cdr:to>
      <cdr:x>0.77258</cdr:x>
      <cdr:y>0.90714</cdr:y>
    </cdr:to>
    <cdr:sp macro="" textlink="">
      <cdr:nvSpPr>
        <cdr:cNvPr id="3" name="TextBox 2">
          <a:extLst xmlns:a="http://schemas.openxmlformats.org/drawingml/2006/main">
            <a:ext uri="{FF2B5EF4-FFF2-40B4-BE49-F238E27FC236}">
              <a16:creationId xmlns:a16="http://schemas.microsoft.com/office/drawing/2014/main" id="{B72BEB9B-5BA7-D6A6-098B-2C9844BB9BBD}"/>
            </a:ext>
          </a:extLst>
        </cdr:cNvPr>
        <cdr:cNvSpPr txBox="1"/>
      </cdr:nvSpPr>
      <cdr:spPr>
        <a:xfrm xmlns:a="http://schemas.openxmlformats.org/drawingml/2006/main">
          <a:off x="1866900" y="1767840"/>
          <a:ext cx="914400" cy="5181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NG" sz="1100"/>
        </a:p>
      </cdr:txBody>
    </cdr:sp>
  </cdr:relSizeAnchor>
  <cdr:relSizeAnchor xmlns:cdr="http://schemas.openxmlformats.org/drawingml/2006/chartDrawing">
    <cdr:from>
      <cdr:x>0.41698</cdr:x>
      <cdr:y>0.80736</cdr:y>
    </cdr:from>
    <cdr:to>
      <cdr:x>0.98002</cdr:x>
      <cdr:y>0.93738</cdr:y>
    </cdr:to>
    <cdr:sp macro="" textlink="">
      <cdr:nvSpPr>
        <cdr:cNvPr id="4" name="TextBox 3">
          <a:extLst xmlns:a="http://schemas.openxmlformats.org/drawingml/2006/main">
            <a:ext uri="{FF2B5EF4-FFF2-40B4-BE49-F238E27FC236}">
              <a16:creationId xmlns:a16="http://schemas.microsoft.com/office/drawing/2014/main" id="{3A97C945-78C5-BD44-5EA8-73638557DD9C}"/>
            </a:ext>
          </a:extLst>
        </cdr:cNvPr>
        <cdr:cNvSpPr txBox="1"/>
      </cdr:nvSpPr>
      <cdr:spPr>
        <a:xfrm xmlns:a="http://schemas.openxmlformats.org/drawingml/2006/main">
          <a:off x="1501140" y="2034540"/>
          <a:ext cx="2026920" cy="3276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900">
              <a:solidFill>
                <a:schemeClr val="tx2"/>
              </a:solidFill>
              <a:latin typeface="Arial Black" panose="020B0A04020102020204" pitchFamily="34" charset="0"/>
            </a:rPr>
            <a:t>Countries</a:t>
          </a:r>
          <a:r>
            <a:rPr lang="en-GB" sz="900" baseline="0">
              <a:solidFill>
                <a:schemeClr val="tx2"/>
              </a:solidFill>
              <a:latin typeface="Arial Black" panose="020B0A04020102020204" pitchFamily="34" charset="0"/>
            </a:rPr>
            <a:t> Yearly Gross Sales</a:t>
          </a:r>
        </a:p>
      </cdr:txBody>
    </cdr:sp>
  </cdr:relSizeAnchor>
</c:userShapes>
</file>

<file path=xl/drawings/drawing4.xml><?xml version="1.0" encoding="utf-8"?>
<c:userShapes xmlns:c="http://schemas.openxmlformats.org/drawingml/2006/chart">
  <cdr:relSizeAnchor xmlns:cdr="http://schemas.openxmlformats.org/drawingml/2006/chartDrawing">
    <cdr:from>
      <cdr:x>0.24342</cdr:x>
      <cdr:y>0.07257</cdr:y>
    </cdr:from>
    <cdr:to>
      <cdr:x>0.76412</cdr:x>
      <cdr:y>0.18445</cdr:y>
    </cdr:to>
    <cdr:sp macro="" textlink="">
      <cdr:nvSpPr>
        <cdr:cNvPr id="2" name="TextBox 1">
          <a:extLst xmlns:a="http://schemas.openxmlformats.org/drawingml/2006/main">
            <a:ext uri="{FF2B5EF4-FFF2-40B4-BE49-F238E27FC236}">
              <a16:creationId xmlns:a16="http://schemas.microsoft.com/office/drawing/2014/main" id="{308B7939-491A-ACB6-DD58-C62D5D95765E}"/>
            </a:ext>
          </a:extLst>
        </cdr:cNvPr>
        <cdr:cNvSpPr txBox="1"/>
      </cdr:nvSpPr>
      <cdr:spPr>
        <a:xfrm xmlns:a="http://schemas.openxmlformats.org/drawingml/2006/main">
          <a:off x="876300" y="182880"/>
          <a:ext cx="1874520" cy="2819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000">
              <a:latin typeface="Arial Black" panose="020B0A04020102020204" pitchFamily="34" charset="0"/>
            </a:rPr>
            <a:t>Gross Sales by Segment</a:t>
          </a:r>
          <a:endParaRPr lang="en-NG" sz="1000">
            <a:latin typeface="Arial Black" panose="020B0A040201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0.24765</cdr:x>
      <cdr:y>0.05443</cdr:y>
    </cdr:from>
    <cdr:to>
      <cdr:x>0.8255</cdr:x>
      <cdr:y>0.17236</cdr:y>
    </cdr:to>
    <cdr:sp macro="" textlink="">
      <cdr:nvSpPr>
        <cdr:cNvPr id="2" name="TextBox 1">
          <a:extLst xmlns:a="http://schemas.openxmlformats.org/drawingml/2006/main">
            <a:ext uri="{FF2B5EF4-FFF2-40B4-BE49-F238E27FC236}">
              <a16:creationId xmlns:a16="http://schemas.microsoft.com/office/drawing/2014/main" id="{4E2ED5A0-90E8-1169-28FC-CA6030DDB8A3}"/>
            </a:ext>
          </a:extLst>
        </cdr:cNvPr>
        <cdr:cNvSpPr txBox="1"/>
      </cdr:nvSpPr>
      <cdr:spPr>
        <a:xfrm xmlns:a="http://schemas.openxmlformats.org/drawingml/2006/main">
          <a:off x="891540" y="137160"/>
          <a:ext cx="2080260" cy="2971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000">
              <a:solidFill>
                <a:schemeClr val="tx2"/>
              </a:solidFill>
              <a:latin typeface="Arial Black" panose="020B0A04020102020204" pitchFamily="34" charset="0"/>
            </a:rPr>
            <a:t>Total Units Sold by</a:t>
          </a:r>
          <a:r>
            <a:rPr lang="en-GB" sz="1000" baseline="0">
              <a:solidFill>
                <a:schemeClr val="tx2"/>
              </a:solidFill>
              <a:latin typeface="Arial Black" panose="020B0A04020102020204" pitchFamily="34" charset="0"/>
            </a:rPr>
            <a:t> Country</a:t>
          </a:r>
          <a:endParaRPr lang="en-NG" sz="1000">
            <a:solidFill>
              <a:schemeClr val="tx2"/>
            </a:solidFill>
            <a:latin typeface="Arial Black" panose="020B0A04020102020204" pitchFamily="34" charset="0"/>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3611111" createdVersion="5" refreshedVersion="8" minRefreshableVersion="3" recordCount="0" supportSubquery="1" supportAdvancedDrill="1" xr:uid="{367933CD-3CD4-4651-8FEF-DBCB2E5F677B}">
  <cacheSource type="external" connectionId="2"/>
  <cacheFields count="4">
    <cacheField name="[Measures].[Sum of Discounts]" caption="Sum of Discounts" numFmtId="0" hierarchy="29" level="32767"/>
    <cacheField name="[Sheet1].[Product].[Product]" caption="Product" numFmtId="0" hierarchy="2" level="1">
      <sharedItems count="6">
        <s v="Amarilla"/>
        <s v="Carretera"/>
        <s v="Montana"/>
        <s v="Paseo"/>
        <s v="Velo"/>
        <s v="VTT"/>
      </sharedItems>
    </cacheField>
    <cacheField name="[Sheet1].[Year].[Year]" caption="Year" numFmtId="0" hierarchy="16" level="1">
      <sharedItems containsSemiMixedTypes="0" containsNonDate="0" containsString="0"/>
    </cacheField>
    <cacheField name="[Sheet1].[Country].[Country]" caption="Country" numFmtId="0" hierarchy="1"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3"/>
      </fieldsUsage>
    </cacheHierarchy>
    <cacheHierarchy uniqueName="[Sheet1].[Product]" caption="Product" attribute="1" defaultMemberUniqueName="[Sheet1].[Product].[All]" allUniqueName="[Sheet1].[Product].[All]" dimensionUniqueName="[Sheet1]" displayFolder="" count="2" memberValueDatatype="130" unbalanced="0">
      <fieldsUsage count="2">
        <fieldUsage x="-1"/>
        <fieldUsage x="1"/>
      </fieldsUsage>
    </cacheHierarchy>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2"/>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4074072" createdVersion="5" refreshedVersion="8" minRefreshableVersion="3" recordCount="0" supportSubquery="1" supportAdvancedDrill="1" xr:uid="{91830BE1-B039-4F0E-89EE-55E9596A280C}">
  <cacheSource type="external" connectionId="2"/>
  <cacheFields count="4">
    <cacheField name="[Measures].[Sum of Profit]" caption="Sum of Profit" numFmtId="0" hierarchy="25" level="32767"/>
    <cacheField name="[Measures].[Sum of Units Sold]" caption="Sum of Units Sold" numFmtId="0" hierarchy="24" level="32767"/>
    <cacheField name="[Sheet1].[Year].[Year]" caption="Year" numFmtId="0" hierarchy="16" level="1">
      <sharedItems count="2">
        <s v="2013"/>
        <s v="2014"/>
      </sharedItems>
    </cacheField>
    <cacheField name="[Sheet1].[Country].[Country]" caption="Country" numFmtId="0" hierarchy="1"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3"/>
      </fieldsUsage>
    </cacheHierarchy>
    <cacheHierarchy uniqueName="[Sheet1].[Product]" caption="Product" attribute="1" defaultMemberUniqueName="[Sheet1].[Product].[All]" allUniqueName="[Sheet1].[Product].[All]" dimensionUniqueName="[Sheet1]" displayFolder="" count="2"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2"/>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4421296" createdVersion="5" refreshedVersion="8" minRefreshableVersion="3" recordCount="0" supportSubquery="1" supportAdvancedDrill="1" xr:uid="{682A76B1-965B-4614-BB34-3C3C67D9AD38}">
  <cacheSource type="external" connectionId="2"/>
  <cacheFields count="4">
    <cacheField name="[Measures].[Sum of Units Sold]" caption="Sum of Units Sold" numFmtId="0" hierarchy="24" level="32767"/>
    <cacheField name="[Sheet1].[Product].[Product]" caption="Product" numFmtId="0" hierarchy="2" level="1">
      <sharedItems count="6">
        <s v="Amarilla"/>
        <s v="Carretera"/>
        <s v="Montana"/>
        <s v="Paseo"/>
        <s v="Velo"/>
        <s v="VTT"/>
      </sharedItems>
    </cacheField>
    <cacheField name="[Sheet1].[Year].[Year]" caption="Year" numFmtId="0" hierarchy="16" level="1">
      <sharedItems containsSemiMixedTypes="0" containsNonDate="0" containsString="0"/>
    </cacheField>
    <cacheField name="[Sheet1].[Country].[Country]" caption="Country" numFmtId="0" hierarchy="1"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3"/>
      </fieldsUsage>
    </cacheHierarchy>
    <cacheHierarchy uniqueName="[Sheet1].[Product]" caption="Product" attribute="1" defaultMemberUniqueName="[Sheet1].[Product].[All]" allUniqueName="[Sheet1].[Product].[All]" dimensionUniqueName="[Sheet1]" displayFolder="" count="2" memberValueDatatype="130" unbalanced="0">
      <fieldsUsage count="2">
        <fieldUsage x="-1"/>
        <fieldUsage x="1"/>
      </fieldsUsage>
    </cacheHierarchy>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2"/>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4884258" createdVersion="5" refreshedVersion="8" minRefreshableVersion="3" recordCount="0" supportSubquery="1" supportAdvancedDrill="1" xr:uid="{DB5A8582-B882-44EA-BBA8-05A81182149C}">
  <cacheSource type="external" connectionId="2"/>
  <cacheFields count="3">
    <cacheField name="[Measures].[Sum of Units Sold]" caption="Sum of Units Sold" numFmtId="0" hierarchy="24" level="32767"/>
    <cacheField name="[Sheet1].[Country].[Country]" caption="Country" numFmtId="0" hierarchy="1" level="1">
      <sharedItems count="5">
        <s v="Canada"/>
        <s v="France"/>
        <s v="Germany"/>
        <s v="Mexico"/>
        <s v="United States of America"/>
      </sharedItems>
    </cacheField>
    <cacheField name="[Sheet1].[Year].[Year]" caption="Year" numFmtId="0" hierarchy="16"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
      </fieldsUsage>
    </cacheHierarchy>
    <cacheHierarchy uniqueName="[Sheet1].[Product]" caption="Product" attribute="1" defaultMemberUniqueName="[Sheet1].[Product].[All]" allUniqueName="[Sheet1].[Product].[All]" dimensionUniqueName="[Sheet1]" displayFolder="" count="2"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2"/>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5694443" createdVersion="5" refreshedVersion="8" minRefreshableVersion="3" recordCount="0" supportSubquery="1" supportAdvancedDrill="1" xr:uid="{29056194-51E0-417C-8AC0-9EBD95DCA066}">
  <cacheSource type="external" connectionId="2"/>
  <cacheFields count="4">
    <cacheField name="[Sheet1].[Country].[Country]" caption="Country" numFmtId="0" hierarchy="1" level="1">
      <sharedItems count="5">
        <s v="Canada"/>
        <s v="France"/>
        <s v="Germany"/>
        <s v="Mexico"/>
        <s v="United States of America"/>
      </sharedItems>
    </cacheField>
    <cacheField name="[Measures].[Average of Profit]" caption="Average of Profit" numFmtId="0" hierarchy="26" level="32767"/>
    <cacheField name="[Measures].[Sum of Units Sold]" caption="Sum of Units Sold" numFmtId="0" hierarchy="24" level="32767"/>
    <cacheField name="[Sheet1].[Year].[Year]" caption="Year" numFmtId="0" hierarchy="16"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0"/>
      </fieldsUsage>
    </cacheHierarchy>
    <cacheHierarchy uniqueName="[Sheet1].[Product]" caption="Product" attribute="1" defaultMemberUniqueName="[Sheet1].[Product].[All]" allUniqueName="[Sheet1].[Product].[All]" dimensionUniqueName="[Sheet1]" displayFolder="" count="2"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3"/>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6041666" createdVersion="5" refreshedVersion="8" minRefreshableVersion="3" recordCount="0" supportSubquery="1" supportAdvancedDrill="1" xr:uid="{FC4D2E0B-82DB-44ED-AA49-6DDE0D8F1AC5}">
  <cacheSource type="external" connectionId="2"/>
  <cacheFields count="5">
    <cacheField name="[Sheet1].[Product].[Product]" caption="Product" numFmtId="0" hierarchy="2" level="1">
      <sharedItems count="6">
        <s v="Amarilla"/>
        <s v="Carretera"/>
        <s v="Montana"/>
        <s v="Paseo"/>
        <s v="Velo"/>
        <s v="VTT"/>
      </sharedItems>
    </cacheField>
    <cacheField name="[Measures].[Sum of Units Sold]" caption="Sum of Units Sold" numFmtId="0" hierarchy="24" level="32767"/>
    <cacheField name="[Measures].[Average of Profit]" caption="Average of Profit" numFmtId="0" hierarchy="26" level="32767"/>
    <cacheField name="[Sheet1].[Year].[Year]" caption="Year" numFmtId="0" hierarchy="16" level="1">
      <sharedItems containsSemiMixedTypes="0" containsNonDate="0" containsString="0"/>
    </cacheField>
    <cacheField name="[Sheet1].[Country].[Country]" caption="Country" numFmtId="0" hierarchy="1"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4"/>
      </fieldsUsage>
    </cacheHierarchy>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3"/>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6620374" createdVersion="5" refreshedVersion="8" minRefreshableVersion="3" recordCount="0" supportSubquery="1" supportAdvancedDrill="1" xr:uid="{AA85B121-F2FC-4753-A1D2-B3366F745950}">
  <cacheSource type="external" connectionId="2"/>
  <cacheFields count="4">
    <cacheField name="[Measures].[Sum of Gross Sales]" caption="Sum of Gross Sales" numFmtId="0" hierarchy="27" level="32767"/>
    <cacheField name="[Sheet1].[Month Name].[Month Name]" caption="Month Name" numFmtId="0" hierarchy="15" level="1">
      <sharedItems count="12">
        <s v="April"/>
        <s v="August"/>
        <s v="December"/>
        <s v="February"/>
        <s v="January"/>
        <s v="July"/>
        <s v="June"/>
        <s v="March"/>
        <s v="May"/>
        <s v="November"/>
        <s v="October"/>
        <s v="September"/>
      </sharedItems>
    </cacheField>
    <cacheField name="[Sheet1].[Year].[Year]" caption="Year" numFmtId="0" hierarchy="16" level="1">
      <sharedItems containsSemiMixedTypes="0" containsNonDate="0" containsString="0"/>
    </cacheField>
    <cacheField name="[Sheet1].[Country].[Country]" caption="Country" numFmtId="0" hierarchy="1"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3"/>
      </fieldsUsage>
    </cacheHierarchy>
    <cacheHierarchy uniqueName="[Sheet1].[Product]" caption="Product" attribute="1" defaultMemberUniqueName="[Sheet1].[Product].[All]" allUniqueName="[Sheet1].[Product].[All]" dimensionUniqueName="[Sheet1]" displayFolder="" count="2"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Year]" caption="Year" attribute="1" defaultMemberUniqueName="[Sheet1].[Year].[All]" allUniqueName="[Sheet1].[Year].[All]" dimensionUniqueName="[Sheet1]" displayFolder="" count="2" memberValueDatatype="130" unbalanced="0">
      <fieldsUsage count="2">
        <fieldUsage x="-1"/>
        <fieldUsage x="2"/>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7083336" createdVersion="5" refreshedVersion="8" minRefreshableVersion="3" recordCount="0" supportSubquery="1" supportAdvancedDrill="1" xr:uid="{8ACAF898-B336-408B-A5D0-99DA39EDF1D6}">
  <cacheSource type="external" connectionId="2"/>
  <cacheFields count="4">
    <cacheField name="[Measures].[Sum of Gross Sales]" caption="Sum of Gross Sales" numFmtId="0" hierarchy="27" level="32767"/>
    <cacheField name="[Sheet1].[Segment].[Segment]" caption="Segment" numFmtId="0" level="1">
      <sharedItems count="5">
        <s v="Channel Partners"/>
        <s v="Enterprise"/>
        <s v="Government"/>
        <s v="Midmarket"/>
        <s v="Small Business"/>
      </sharedItems>
    </cacheField>
    <cacheField name="[Sheet1].[Year].[Year]" caption="Year" numFmtId="0" hierarchy="16" level="1">
      <sharedItems containsSemiMixedTypes="0" containsNonDate="0" containsString="0"/>
    </cacheField>
    <cacheField name="[Sheet1].[Country].[Country]" caption="Country" numFmtId="0" hierarchy="1"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fieldsUsage count="2">
        <fieldUsage x="-1"/>
        <fieldUsage x="3"/>
      </fieldsUsage>
    </cacheHierarchy>
    <cacheHierarchy uniqueName="[Sheet1].[Product]" caption="Product" attribute="1" defaultMemberUniqueName="[Sheet1].[Product].[All]" allUniqueName="[Sheet1].[Product].[All]" dimensionUniqueName="[Sheet1]" displayFolder="" count="2"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2"/>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7662036" createdVersion="5" refreshedVersion="8" minRefreshableVersion="3" recordCount="0" supportSubquery="1" supportAdvancedDrill="1" xr:uid="{36D9606B-B237-48C4-B3D4-92DC04310186}">
  <cacheSource type="external" connectionId="2"/>
  <cacheFields count="3">
    <cacheField name="[Sheet1].[Year].[Year]" caption="Year" numFmtId="0" hierarchy="16" level="1">
      <sharedItems count="2">
        <s v="2013"/>
        <s v="2014"/>
      </sharedItems>
    </cacheField>
    <cacheField name="[Measures].[Sum of Gross Sales]" caption="Sum of Gross Sales" numFmtId="0" hierarchy="27" level="32767"/>
    <cacheField name="[Sheet1].[Country].[Country]" caption="Country" numFmtId="0" hierarchy="1"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roduct]" caption="Product" attribute="1" defaultMemberUniqueName="[Sheet1].[Product].[All]" allUniqueName="[Sheet1].[Product].[All]" dimensionUniqueName="[Sheet1]" displayFolder="" count="2"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0"/>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8240744" createdVersion="5" refreshedVersion="8" minRefreshableVersion="3" recordCount="0" supportSubquery="1" supportAdvancedDrill="1" xr:uid="{B11B5B2C-74BE-4C60-9F8C-FC6E795D5F38}">
  <cacheSource type="external" connectionId="2"/>
  <cacheFields count="5">
    <cacheField name="[Sheet1].[Product].[Product]" caption="Product" numFmtId="0" hierarchy="2" level="1">
      <sharedItems count="6">
        <s v="Amarilla"/>
        <s v="Carretera"/>
        <s v="Montana"/>
        <s v="Paseo"/>
        <s v="Velo"/>
        <s v="VTT"/>
      </sharedItems>
    </cacheField>
    <cacheField name="[Measures].[Count of Product]" caption="Count of Product" numFmtId="0" hierarchy="30" level="32767"/>
    <cacheField name="[Measures].[Sum of Sales]" caption="Sum of Sales" numFmtId="0" hierarchy="28" level="32767"/>
    <cacheField name="[Sheet1].[Year].[Year]" caption="Year" numFmtId="0" hierarchy="16" level="1">
      <sharedItems containsSemiMixedTypes="0" containsNonDate="0" containsString="0"/>
    </cacheField>
    <cacheField name="[Sheet1].[Country].[Country]" caption="Country" numFmtId="0" hierarchy="1"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4"/>
      </fieldsUsage>
    </cacheHierarchy>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3"/>
      </fieldsUsage>
    </cacheHierarchy>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3178703706" createdVersion="5" refreshedVersion="8" minRefreshableVersion="3" recordCount="0" supportSubquery="1" supportAdvancedDrill="1" xr:uid="{038A54C8-5DF9-45FA-8A43-F33A4041167E}">
  <cacheSource type="external" connectionId="2"/>
  <cacheFields count="7">
    <cacheField name="[Sheet1].[Country].[Country]" caption="Country" numFmtId="0" hierarchy="1" level="1">
      <sharedItems count="5">
        <s v="Canada"/>
        <s v="France"/>
        <s v="Germany"/>
        <s v="Mexico"/>
        <s v="United States of America"/>
      </sharedItems>
    </cacheField>
    <cacheField name="[Sheet1].[Date].[Date]" caption="Date" numFmtId="0" hierarchy="13" level="1">
      <sharedItems containsSemiMixedTypes="0" containsNonDate="0" containsDate="1" containsString="0" minDate="2013-09-01T00:00:00" maxDate="2014-12-02T00:00:00" count="16">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sharedItems>
    </cacheField>
    <cacheField name="[Sheet1].[Date (Month)].[Date (Month)]" caption="Date (Month)" numFmtId="0" hierarchy="19" level="1">
      <sharedItems count="12">
        <s v="Sep"/>
        <s v="Oct"/>
        <s v="Nov"/>
        <s v="Dec"/>
        <s v="Jan"/>
        <s v="Feb"/>
        <s v="Mar"/>
        <s v="Apr"/>
        <s v="May"/>
        <s v="Jun"/>
        <s v="Jul"/>
        <s v="Aug"/>
      </sharedItems>
    </cacheField>
    <cacheField name="[Sheet1].[Date (Quarter)].[Date (Quarter)]" caption="Date (Quarter)" numFmtId="0" hierarchy="18" level="1">
      <sharedItems count="4">
        <s v="Qtr3"/>
        <s v="Qtr4"/>
        <s v="Qtr1"/>
        <s v="Qtr2"/>
      </sharedItems>
    </cacheField>
    <cacheField name="[Sheet1].[Date (Year)].[Date (Year)]" caption="Date (Year)" numFmtId="0" hierarchy="17" level="1">
      <sharedItems count="2">
        <s v="2013"/>
        <s v="2014"/>
      </sharedItems>
    </cacheField>
    <cacheField name="[Measures].[Sum of Gross Sales]" caption="Sum of Gross Sales" numFmtId="0" hierarchy="27" level="32767"/>
    <cacheField name="[Sheet1].[Year].[Year]" caption="Year" numFmtId="0" hierarchy="16" level="1">
      <sharedItems containsSemiMixedTypes="0" containsNonDate="0" containsString="0"/>
    </cacheField>
  </cacheFields>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0"/>
      </fieldsUsage>
    </cacheHierarchy>
    <cacheHierarchy uniqueName="[Sheet1].[Product]" caption="Product" attribute="1" defaultMemberUniqueName="[Sheet1].[Product].[All]" allUniqueName="[Sheet1].[Product].[All]" dimensionUniqueName="[Sheet1]" displayFolder="" count="2"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1"/>
      </fieldsUsage>
    </cacheHierarchy>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fieldsUsage count="2">
        <fieldUsage x="-1"/>
        <fieldUsage x="6"/>
      </fieldsUsage>
    </cacheHierarchy>
    <cacheHierarchy uniqueName="[Sheet1].[Date (Year)]" caption="Date (Year)" attribute="1" defaultMemberUniqueName="[Sheet1].[Date (Year)].[All]" allUniqueName="[Sheet1].[Date (Year)].[All]" dimensionUniqueName="[Sheet1]" displayFolder="" count="2" memberValueDatatype="130" unbalanced="0">
      <fieldsUsage count="2">
        <fieldUsage x="-1"/>
        <fieldUsage x="4"/>
      </fieldsUsage>
    </cacheHierarchy>
    <cacheHierarchy uniqueName="[Sheet1].[Date (Quarter)]" caption="Date (Quarter)" attribute="1" defaultMemberUniqueName="[Sheet1].[Date (Quarter)].[All]" allUniqueName="[Sheet1].[Date (Quarter)].[All]" dimensionUniqueName="[Sheet1]" displayFolder="" count="2" memberValueDatatype="130" unbalanced="0">
      <fieldsUsage count="2">
        <fieldUsage x="-1"/>
        <fieldUsage x="3"/>
      </fieldsUsage>
    </cacheHierarchy>
    <cacheHierarchy uniqueName="[Sheet1].[Date (Month)]" caption="Date (Month)" attribute="1" defaultMemberUniqueName="[Sheet1].[Date (Month)].[All]" allUniqueName="[Sheet1].[Date (Month)].[All]" dimensionUniqueName="[Sheet1]" displayFolder="" count="2" memberValueDatatype="130" unbalanced="0">
      <fieldsUsage count="2">
        <fieldUsage x="-1"/>
        <fieldUsage x="2"/>
      </fieldsUsage>
    </cacheHierarchy>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2764236115" createdVersion="3" refreshedVersion="8" minRefreshableVersion="3" recordCount="0" supportSubquery="1" supportAdvancedDrill="1" xr:uid="{99DF7B3A-B453-4AE1-B531-427FE023FBA7}">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2"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4597198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on" refreshedDate="45412.422767361109" createdVersion="3" refreshedVersion="8" minRefreshableVersion="3" recordCount="0" supportSubquery="1" supportAdvancedDrill="1" xr:uid="{BDA496A4-B57A-49D8-A5EE-F97E274128BA}">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Sheet1].[Segment]" caption="Segment" attribute="1" defaultMemberUniqueName="[Sheet1].[Segment].[All]" allUniqueName="[Sheet1].[Seg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iscount Band]" caption="Discount Band" attribute="1" defaultMemberUniqueName="[Sheet1].[Discount Band].[All]" allUniqueName="[Sheet1].[Discount B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5" unbalanced="0"/>
    <cacheHierarchy uniqueName="[Sheet1].[Manufacturing]" caption="Manufacturing" attribute="1" defaultMemberUniqueName="[Sheet1].[Manufacturing].[All]" allUniqueName="[Sheet1].[Manufacturing].[All]" dimensionUniqueName="[Sheet1]" displayFolder="" count="0" memberValueDatatype="6" unbalanced="0"/>
    <cacheHierarchy uniqueName="[Sheet1].[Sale Price]" caption="Sale Price" attribute="1" defaultMemberUniqueName="[Sheet1].[Sale Price].[All]" allUniqueName="[Sheet1].[Sale Price].[All]" dimensionUniqueName="[Sheet1]" displayFolder="" count="0" memberValueDatatype="6" unbalanced="0"/>
    <cacheHierarchy uniqueName="[Sheet1].[Gross Sales]" caption="Gross Sales" attribute="1" defaultMemberUniqueName="[Sheet1].[Gross Sales].[All]" allUniqueName="[Sheet1].[Gross Sales].[All]" dimensionUniqueName="[Sheet1]" displayFolder="" count="0" memberValueDatatype="6" unbalanced="0"/>
    <cacheHierarchy uniqueName="[Sheet1].[Discounts]" caption="Discounts" attribute="1" defaultMemberUniqueName="[Sheet1].[Discounts].[All]" allUniqueName="[Sheet1].[Discounts].[All]" dimensionUniqueName="[Sheet1]" displayFolder="" count="0" memberValueDatatype="6" unbalanced="0"/>
    <cacheHierarchy uniqueName="[Sheet1].[Sales]" caption="Sales" attribute="1" defaultMemberUniqueName="[Sheet1].[Sales].[All]" allUniqueName="[Sheet1].[Sales].[All]" dimensionUniqueName="[Sheet1]" displayFolder="" count="0" memberValueDatatype="6" unbalanced="0"/>
    <cacheHierarchy uniqueName="[Sheet1].[Cogs]" caption="Cogs" attribute="1" defaultMemberUniqueName="[Sheet1].[Cogs].[All]" allUniqueName="[Sheet1].[Cogs].[All]" dimensionUniqueName="[Sheet1]" displayFolder="" count="0" memberValueDatatype="6" unbalanced="0"/>
    <cacheHierarchy uniqueName="[Sheet1].[Profit]" caption="Profit" attribute="1" defaultMemberUniqueName="[Sheet1].[Profit].[All]" allUniqueName="[Sheet1].[Profit].[All]" dimensionUniqueName="[Sheet1]" displayFolder="" count="0" memberValueDatatype="6" unbalanced="0"/>
    <cacheHierarchy uniqueName="[Sheet1].[F13]" caption="F13" attribute="1" defaultMemberUniqueName="[Sheet1].[F13].[All]" allUniqueName="[Sheet1].[F13].[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umber]" caption="Month Number" attribute="1" defaultMemberUniqueName="[Sheet1].[Month Number].[All]" allUniqueName="[Sheet1].[Month Number].[All]" dimensionUniqueName="[Sheet1]" displayFolder="" count="0" memberValueDatatype="5" unbalanced="0"/>
    <cacheHierarchy uniqueName="[Sheet1].[Month Name]" caption="Month Name" attribute="1" defaultMemberUniqueName="[Sheet1].[Month Name].[All]" allUniqueName="[Sheet1].[Month Name].[All]" dimensionUniqueName="[Sheet1]" displayFolder="" count="0" memberValueDatatype="130" unbalanced="0"/>
    <cacheHierarchy uniqueName="[Sheet1].[Year]" caption="Year" attribute="1" defaultMemberUniqueName="[Sheet1].[Year].[All]" allUniqueName="[Sheet1].[Year].[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UNIT COST]" caption="UNIT COST" attribute="1" defaultMemberUniqueName="[Sheet1].[UNIT COST].[All]" allUniqueName="[Sheet1].[UNIT COST].[All]" dimensionUniqueName="[Sheet1]" displayFolder="" count="0" memberValueDatatype="6"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Units Sold]" caption="Sum of Units Sold" measure="1" displayFolder="" measureGroup="Sheet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Sheet1" count="0" hidden="1">
      <extLst>
        <ext xmlns:x15="http://schemas.microsoft.com/office/spreadsheetml/2010/11/main" uri="{B97F6D7D-B522-45F9-BDA1-12C45D357490}">
          <x15:cacheHierarchy aggregatedColumn="11"/>
        </ext>
      </extLst>
    </cacheHierarchy>
    <cacheHierarchy uniqueName="[Measures].[Sum of Gross Sales]" caption="Sum of Gross Sales" measure="1" displayFolder="" measureGroup="Sheet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heet1" count="0" hidden="1">
      <extLst>
        <ext xmlns:x15="http://schemas.microsoft.com/office/spreadsheetml/2010/11/main" uri="{B97F6D7D-B522-45F9-BDA1-12C45D357490}">
          <x15:cacheHierarchy aggregatedColumn="9"/>
        </ext>
      </extLst>
    </cacheHierarchy>
    <cacheHierarchy uniqueName="[Measures].[Sum of Discounts]" caption="Sum of Discounts" measure="1" displayFolder="" measureGroup="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Sheet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4899969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FF3DE3-B70B-4432-B6D2-6FDEAB528157}" name="PivotTable8" cacheId="257" applyNumberFormats="0" applyBorderFormats="0" applyFontFormats="0" applyPatternFormats="0" applyAlignmentFormats="0" applyWidthHeightFormats="1" dataCaption="Values" tag="d980c84a-9b42-4f78-8e82-0ae7eb262f33" updatedVersion="8" minRefreshableVersion="5" useAutoFormatting="1" itemPrintTitles="1" createdVersion="5" indent="0" outline="1" outlineData="1" multipleFieldFilters="0" chartFormat="30">
  <location ref="A43:C50" firstHeaderRow="0" firstDataRow="1" firstDataCol="1"/>
  <pivotFields count="5">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3"/>
    </i>
    <i>
      <x v="5"/>
    </i>
    <i>
      <x v="4"/>
    </i>
    <i>
      <x/>
    </i>
    <i>
      <x v="2"/>
    </i>
    <i>
      <x v="1"/>
    </i>
    <i t="grand">
      <x/>
    </i>
  </rowItems>
  <colFields count="1">
    <field x="-2"/>
  </colFields>
  <colItems count="2">
    <i>
      <x/>
    </i>
    <i i="1">
      <x v="1"/>
    </i>
  </colItems>
  <dataFields count="2">
    <dataField name="Count of Product" fld="1" subtotal="count" baseField="0" baseItem="0"/>
    <dataField name="Total Sales" fld="2" baseField="0" baseItem="3"/>
  </dataFields>
  <formats count="12">
    <format dxfId="1147">
      <pivotArea type="all" dataOnly="0" outline="0" fieldPosition="0"/>
    </format>
    <format dxfId="1146">
      <pivotArea outline="0" collapsedLevelsAreSubtotals="1" fieldPosition="0"/>
    </format>
    <format dxfId="1145">
      <pivotArea field="0" type="button" dataOnly="0" labelOnly="1" outline="0" axis="axisRow" fieldPosition="0"/>
    </format>
    <format dxfId="1144">
      <pivotArea dataOnly="0" labelOnly="1" fieldPosition="0">
        <references count="1">
          <reference field="0" count="0"/>
        </references>
      </pivotArea>
    </format>
    <format dxfId="1143">
      <pivotArea dataOnly="0" labelOnly="1" grandRow="1" outline="0" fieldPosition="0"/>
    </format>
    <format dxfId="1142">
      <pivotArea dataOnly="0" labelOnly="1" outline="0" fieldPosition="0">
        <references count="1">
          <reference field="4294967294" count="2">
            <x v="0"/>
            <x v="1"/>
          </reference>
        </references>
      </pivotArea>
    </format>
    <format dxfId="1070">
      <pivotArea type="all" dataOnly="0" outline="0" fieldPosition="0"/>
    </format>
    <format dxfId="1069">
      <pivotArea outline="0" collapsedLevelsAreSubtotals="1" fieldPosition="0"/>
    </format>
    <format dxfId="1068">
      <pivotArea field="0" type="button" dataOnly="0" labelOnly="1" outline="0" axis="axisRow" fieldPosition="0"/>
    </format>
    <format dxfId="1067">
      <pivotArea dataOnly="0" labelOnly="1" fieldPosition="0">
        <references count="1">
          <reference field="0" count="0"/>
        </references>
      </pivotArea>
    </format>
    <format dxfId="1066">
      <pivotArea dataOnly="0" labelOnly="1" grandRow="1" outline="0" fieldPosition="0"/>
    </format>
    <format dxfId="1065">
      <pivotArea dataOnly="0" labelOnly="1" outline="0" fieldPosition="0">
        <references count="1">
          <reference field="4294967294" count="2">
            <x v="0"/>
            <x v="1"/>
          </reference>
        </references>
      </pivotArea>
    </format>
  </formats>
  <chartFormats count="6">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ales"/>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578C2-05AC-4C05-BC6D-249203764A76}" name="PivotTable9" cacheId="260" applyNumberFormats="0" applyBorderFormats="0" applyFontFormats="0" applyPatternFormats="0" applyAlignmentFormats="0" applyWidthHeightFormats="1" dataCaption="Values" tag="8592cba6-3e5a-45d3-9211-44d72f6cd0da" updatedVersion="8" minRefreshableVersion="5" useAutoFormatting="1" itemPrintTitles="1" createdVersion="5" indent="0" outline="1" outlineData="1" multipleFieldFilters="0" chartFormat="17" colHeaderCaption="Years">
  <location ref="I24:L34" firstHeaderRow="1" firstDataRow="5" firstDataCol="1"/>
  <pivotFields count="7">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6">
    <i>
      <x v="4"/>
    </i>
    <i>
      <x/>
    </i>
    <i>
      <x v="1"/>
    </i>
    <i>
      <x v="2"/>
    </i>
    <i>
      <x v="3"/>
    </i>
    <i t="grand">
      <x/>
    </i>
  </rowItems>
  <colFields count="4">
    <field x="4"/>
    <field x="3"/>
    <field x="2"/>
    <field x="1"/>
  </colFields>
  <colItems count="3">
    <i>
      <x/>
    </i>
    <i>
      <x v="1"/>
    </i>
    <i t="grand">
      <x/>
    </i>
  </colItems>
  <dataFields count="1">
    <dataField name="Gross Sales" fld="5" baseField="0" baseItem="0"/>
  </dataFields>
  <formats count="22">
    <format dxfId="1141">
      <pivotArea type="all" dataOnly="0" outline="0" fieldPosition="0"/>
    </format>
    <format dxfId="1140">
      <pivotArea outline="0" collapsedLevelsAreSubtotals="1" fieldPosition="0"/>
    </format>
    <format dxfId="1139">
      <pivotArea type="origin" dataOnly="0" labelOnly="1" outline="0" fieldPosition="0"/>
    </format>
    <format dxfId="1138">
      <pivotArea field="4" type="button" dataOnly="0" labelOnly="1" outline="0" axis="axisCol" fieldPosition="0"/>
    </format>
    <format dxfId="1137">
      <pivotArea field="3" type="button" dataOnly="0" labelOnly="1" outline="0" axis="axisCol" fieldPosition="1"/>
    </format>
    <format dxfId="1136">
      <pivotArea field="2" type="button" dataOnly="0" labelOnly="1" outline="0" axis="axisCol" fieldPosition="2"/>
    </format>
    <format dxfId="1135">
      <pivotArea field="0" type="button" dataOnly="0" labelOnly="1" outline="0" axis="axisRow" fieldPosition="0"/>
    </format>
    <format dxfId="1134">
      <pivotArea dataOnly="0" labelOnly="1" fieldPosition="0">
        <references count="1">
          <reference field="0" count="0"/>
        </references>
      </pivotArea>
    </format>
    <format dxfId="1133">
      <pivotArea dataOnly="0" labelOnly="1" grandRow="1" outline="0" fieldPosition="0"/>
    </format>
    <format dxfId="1132">
      <pivotArea dataOnly="0" labelOnly="1" fieldPosition="0">
        <references count="1">
          <reference field="4" count="0"/>
        </references>
      </pivotArea>
    </format>
    <format dxfId="1131">
      <pivotArea dataOnly="0" labelOnly="1" grandCol="1" outline="0" fieldPosition="0"/>
    </format>
    <format dxfId="1064">
      <pivotArea type="all" dataOnly="0" outline="0" fieldPosition="0"/>
    </format>
    <format dxfId="1063">
      <pivotArea outline="0" collapsedLevelsAreSubtotals="1" fieldPosition="0"/>
    </format>
    <format dxfId="1062">
      <pivotArea type="origin" dataOnly="0" labelOnly="1" outline="0" fieldPosition="0"/>
    </format>
    <format dxfId="1061">
      <pivotArea field="4" type="button" dataOnly="0" labelOnly="1" outline="0" axis="axisCol" fieldPosition="0"/>
    </format>
    <format dxfId="1060">
      <pivotArea field="3" type="button" dataOnly="0" labelOnly="1" outline="0" axis="axisCol" fieldPosition="1"/>
    </format>
    <format dxfId="1059">
      <pivotArea field="2" type="button" dataOnly="0" labelOnly="1" outline="0" axis="axisCol" fieldPosition="2"/>
    </format>
    <format dxfId="1058">
      <pivotArea field="0" type="button" dataOnly="0" labelOnly="1" outline="0" axis="axisRow" fieldPosition="0"/>
    </format>
    <format dxfId="1057">
      <pivotArea dataOnly="0" labelOnly="1" fieldPosition="0">
        <references count="1">
          <reference field="0" count="0"/>
        </references>
      </pivotArea>
    </format>
    <format dxfId="1056">
      <pivotArea dataOnly="0" labelOnly="1" grandRow="1" outline="0" fieldPosition="0"/>
    </format>
    <format dxfId="1055">
      <pivotArea dataOnly="0" labelOnly="1" fieldPosition="0">
        <references count="1">
          <reference field="4" count="0"/>
        </references>
      </pivotArea>
    </format>
    <format dxfId="1054">
      <pivotArea dataOnly="0" labelOnly="1" grandCol="1" outline="0" fieldPosition="0"/>
    </format>
  </formats>
  <chartFormats count="6">
    <chartFormat chart="14" format="2" series="1">
      <pivotArea type="data" outline="0" fieldPosition="0">
        <references count="2">
          <reference field="4294967294" count="1" selected="0">
            <x v="0"/>
          </reference>
          <reference field="4" count="1" selected="0">
            <x v="0"/>
          </reference>
        </references>
      </pivotArea>
    </chartFormat>
    <chartFormat chart="14" format="3" series="1">
      <pivotArea type="data" outline="0" fieldPosition="0">
        <references count="2">
          <reference field="4294967294" count="1" selected="0">
            <x v="0"/>
          </reference>
          <reference field="4" count="1" selected="0">
            <x v="1"/>
          </reference>
        </references>
      </pivotArea>
    </chartFormat>
    <chartFormat chart="15" format="4" series="1">
      <pivotArea type="data" outline="0" fieldPosition="0">
        <references count="2">
          <reference field="4294967294" count="1" selected="0">
            <x v="0"/>
          </reference>
          <reference field="4" count="1" selected="0">
            <x v="0"/>
          </reference>
        </references>
      </pivotArea>
    </chartFormat>
    <chartFormat chart="15" format="5" series="1">
      <pivotArea type="data" outline="0" fieldPosition="0">
        <references count="2">
          <reference field="4294967294" count="1" selected="0">
            <x v="0"/>
          </reference>
          <reference field="4" count="1" selected="0">
            <x v="1"/>
          </reference>
        </references>
      </pivotArea>
    </chartFormat>
    <chartFormat chart="16" format="4" series="1">
      <pivotArea type="data" outline="0" fieldPosition="0">
        <references count="2">
          <reference field="4294967294" count="1" selected="0">
            <x v="0"/>
          </reference>
          <reference field="4" count="1" selected="0">
            <x v="0"/>
          </reference>
        </references>
      </pivotArea>
    </chartFormat>
    <chartFormat chart="16" format="5" series="1">
      <pivotArea type="data" outline="0" fieldPosition="0">
        <references count="2">
          <reference field="4294967294" count="1" selected="0">
            <x v="0"/>
          </reference>
          <reference field="4" count="1" selected="0">
            <x v="1"/>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Gross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4">
    <colHierarchyUsage hierarchyUsage="17"/>
    <colHierarchyUsage hierarchyUsage="18"/>
    <colHierarchyUsage hierarchyUsage="19"/>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7F4BA6-4AE8-43F7-8C38-9BA7FE748856}" name="PivotTable1" cacheId="233" applyNumberFormats="0" applyBorderFormats="0" applyFontFormats="0" applyPatternFormats="0" applyAlignmentFormats="0" applyWidthHeightFormats="1" dataCaption="Values" tag="ddfaf95d-b569-4243-b5fb-3f93e5f4e7b4" updatedVersion="8" minRefreshableVersion="5" useAutoFormatting="1" itemPrintTitles="1" createdVersion="5" indent="0" outline="1" outlineData="1" multipleFieldFilters="0">
  <location ref="A4:C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Sum of Profit" fld="0" baseField="0" baseItem="0"/>
    <dataField name="Sum of Units Sold" fld="1" baseField="0" baseItem="0"/>
  </dataFields>
  <formats count="12">
    <format dxfId="1130">
      <pivotArea type="all" dataOnly="0" outline="0" fieldPosition="0"/>
    </format>
    <format dxfId="1129">
      <pivotArea outline="0" collapsedLevelsAreSubtotals="1" fieldPosition="0"/>
    </format>
    <format dxfId="1128">
      <pivotArea field="2" type="button" dataOnly="0" labelOnly="1" outline="0" axis="axisRow" fieldPosition="0"/>
    </format>
    <format dxfId="1127">
      <pivotArea dataOnly="0" labelOnly="1" fieldPosition="0">
        <references count="1">
          <reference field="2" count="0"/>
        </references>
      </pivotArea>
    </format>
    <format dxfId="1126">
      <pivotArea dataOnly="0" labelOnly="1" grandRow="1" outline="0" fieldPosition="0"/>
    </format>
    <format dxfId="1125">
      <pivotArea dataOnly="0" labelOnly="1" outline="0" fieldPosition="0">
        <references count="1">
          <reference field="4294967294" count="2">
            <x v="0"/>
            <x v="1"/>
          </reference>
        </references>
      </pivotArea>
    </format>
    <format dxfId="1053">
      <pivotArea type="all" dataOnly="0" outline="0" fieldPosition="0"/>
    </format>
    <format dxfId="1052">
      <pivotArea outline="0" collapsedLevelsAreSubtotals="1" fieldPosition="0"/>
    </format>
    <format dxfId="1051">
      <pivotArea field="2" type="button" dataOnly="0" labelOnly="1" outline="0" axis="axisRow" fieldPosition="0"/>
    </format>
    <format dxfId="1050">
      <pivotArea dataOnly="0" labelOnly="1" fieldPosition="0">
        <references count="1">
          <reference field="2" count="0"/>
        </references>
      </pivotArea>
    </format>
    <format dxfId="1049">
      <pivotArea dataOnly="0" labelOnly="1" grandRow="1" outline="0" fieldPosition="0"/>
    </format>
    <format dxfId="1048">
      <pivotArea dataOnly="0" labelOnly="1" outline="0" fieldPosition="0">
        <references count="1">
          <reference field="4294967294" count="2">
            <x v="0"/>
            <x v="1"/>
          </reference>
        </references>
      </pivotArea>
    </format>
  </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E22D38-B2AC-4B9D-8C62-334F0EF5A267}" name="PivotTable10" cacheId="236" applyNumberFormats="0" applyBorderFormats="0" applyFontFormats="0" applyPatternFormats="0" applyAlignmentFormats="0" applyWidthHeightFormats="1" dataCaption="Values" tag="358dc60d-976e-44f5-9020-aa912f90e03d" updatedVersion="8" minRefreshableVersion="5" useAutoFormatting="1" itemPrintTitles="1" createdVersion="5" indent="0" outline="1" outlineData="1" multipleFieldFilters="0" chartFormat="7" rowHeaderCaption="Products">
  <location ref="E26:F33" firstHeaderRow="1" firstDataRow="1" firstDataCol="1"/>
  <pivotFields count="4">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3"/>
    </i>
    <i>
      <x v="5"/>
    </i>
    <i>
      <x v="4"/>
    </i>
    <i>
      <x/>
    </i>
    <i>
      <x v="2"/>
    </i>
    <i>
      <x v="1"/>
    </i>
    <i t="grand">
      <x/>
    </i>
  </rowItems>
  <colItems count="1">
    <i/>
  </colItems>
  <dataFields count="1">
    <dataField name="Total Units Sold" fld="0" baseField="1" baseItem="3"/>
  </dataFields>
  <formats count="12">
    <format dxfId="1124">
      <pivotArea type="all" dataOnly="0" outline="0" fieldPosition="0"/>
    </format>
    <format dxfId="1123">
      <pivotArea outline="0" collapsedLevelsAreSubtotals="1" fieldPosition="0"/>
    </format>
    <format dxfId="1122">
      <pivotArea field="1" type="button" dataOnly="0" labelOnly="1" outline="0" axis="axisRow" fieldPosition="0"/>
    </format>
    <format dxfId="1121">
      <pivotArea dataOnly="0" labelOnly="1" fieldPosition="0">
        <references count="1">
          <reference field="1" count="0"/>
        </references>
      </pivotArea>
    </format>
    <format dxfId="1120">
      <pivotArea dataOnly="0" labelOnly="1" grandRow="1" outline="0" fieldPosition="0"/>
    </format>
    <format dxfId="1119">
      <pivotArea dataOnly="0" labelOnly="1" outline="0" axis="axisValues" fieldPosition="0"/>
    </format>
    <format dxfId="1047">
      <pivotArea type="all" dataOnly="0" outline="0" fieldPosition="0"/>
    </format>
    <format dxfId="1046">
      <pivotArea outline="0" collapsedLevelsAreSubtotals="1" fieldPosition="0"/>
    </format>
    <format dxfId="1045">
      <pivotArea field="1" type="button" dataOnly="0" labelOnly="1" outline="0" axis="axisRow" fieldPosition="0"/>
    </format>
    <format dxfId="1044">
      <pivotArea dataOnly="0" labelOnly="1" fieldPosition="0">
        <references count="1">
          <reference field="1" count="0"/>
        </references>
      </pivotArea>
    </format>
    <format dxfId="1043">
      <pivotArea dataOnly="0" labelOnly="1" grandRow="1" outline="0" fieldPosition="0"/>
    </format>
    <format dxfId="104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Units Sol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8FADD8-9003-4B58-B9AE-A340E2FF59A8}" name="PivotTable4" cacheId="248" applyNumberFormats="0" applyBorderFormats="0" applyFontFormats="0" applyPatternFormats="0" applyAlignmentFormats="0" applyWidthHeightFormats="1" dataCaption="Values" tag="1d17cd66-c0af-4a1a-a422-6e819e8325d9" updatedVersion="8" minRefreshableVersion="5" useAutoFormatting="1" itemPrintTitles="1" createdVersion="5" indent="0" outline="1" outlineData="1" multipleFieldFilters="0" chartFormat="8">
  <location ref="A12:B25" firstHeaderRow="1" firstDataRow="1" firstDataCol="1"/>
  <pivotFields count="4">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v="7"/>
    </i>
    <i>
      <x v="1"/>
    </i>
    <i>
      <x v="8"/>
    </i>
    <i>
      <x v="4"/>
    </i>
    <i>
      <x/>
    </i>
    <i>
      <x v="3"/>
    </i>
    <i>
      <x v="5"/>
    </i>
    <i>
      <x v="6"/>
    </i>
    <i>
      <x v="11"/>
    </i>
    <i>
      <x v="9"/>
    </i>
    <i>
      <x v="2"/>
    </i>
    <i>
      <x v="10"/>
    </i>
    <i t="grand">
      <x/>
    </i>
  </rowItems>
  <colItems count="1">
    <i/>
  </colItems>
  <dataFields count="1">
    <dataField name="Sum of Gross Sales" fld="0" baseField="0" baseItem="0"/>
  </dataFields>
  <formats count="12">
    <format dxfId="1117">
      <pivotArea type="all" dataOnly="0" outline="0" fieldPosition="0"/>
    </format>
    <format dxfId="1116">
      <pivotArea outline="0" collapsedLevelsAreSubtotals="1" fieldPosition="0"/>
    </format>
    <format dxfId="1115">
      <pivotArea field="1" type="button" dataOnly="0" labelOnly="1" outline="0" axis="axisRow" fieldPosition="0"/>
    </format>
    <format dxfId="1114">
      <pivotArea dataOnly="0" labelOnly="1" fieldPosition="0">
        <references count="1">
          <reference field="1" count="0"/>
        </references>
      </pivotArea>
    </format>
    <format dxfId="1113">
      <pivotArea dataOnly="0" labelOnly="1" grandRow="1" outline="0" fieldPosition="0"/>
    </format>
    <format dxfId="1112">
      <pivotArea dataOnly="0" labelOnly="1" outline="0" axis="axisValues" fieldPosition="0"/>
    </format>
    <format dxfId="1040">
      <pivotArea type="all" dataOnly="0" outline="0" fieldPosition="0"/>
    </format>
    <format dxfId="1039">
      <pivotArea outline="0" collapsedLevelsAreSubtotals="1" fieldPosition="0"/>
    </format>
    <format dxfId="1038">
      <pivotArea field="1" type="button" dataOnly="0" labelOnly="1" outline="0" axis="axisRow" fieldPosition="0"/>
    </format>
    <format dxfId="1037">
      <pivotArea dataOnly="0" labelOnly="1" fieldPosition="0">
        <references count="1">
          <reference field="1" count="0"/>
        </references>
      </pivotArea>
    </format>
    <format dxfId="1036">
      <pivotArea dataOnly="0" labelOnly="1" grandRow="1" outline="0" fieldPosition="0"/>
    </format>
    <format dxfId="103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8BDD2F-6EE4-4847-9F4E-FC3B9BEB110A}" name="PivotTable2" cacheId="242" applyNumberFormats="0" applyBorderFormats="0" applyFontFormats="0" applyPatternFormats="0" applyAlignmentFormats="0" applyWidthHeightFormats="1" dataCaption="Values" tag="93e4f597-90a6-4870-bd92-28a5b63ae5d1" updatedVersion="8" minRefreshableVersion="5" useAutoFormatting="1" subtotalHiddenItems="1" itemPrintTitles="1" createdVersion="5" indent="0" outline="1" outlineData="1" multipleFieldFilters="0" chartFormat="16">
  <location ref="E4:G10"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2"/>
    </i>
    <i>
      <x v="1"/>
    </i>
    <i>
      <x/>
    </i>
    <i>
      <x v="4"/>
    </i>
    <i>
      <x v="3"/>
    </i>
    <i t="grand">
      <x/>
    </i>
  </rowItems>
  <colFields count="1">
    <field x="-2"/>
  </colFields>
  <colItems count="2">
    <i>
      <x/>
    </i>
    <i i="1">
      <x v="1"/>
    </i>
  </colItems>
  <dataFields count="2">
    <dataField name="Units Sold" fld="2" baseField="0" baseItem="2"/>
    <dataField name="Average of Profit" fld="1" subtotal="average" baseField="0" baseItem="0"/>
  </dataFields>
  <formats count="12">
    <format dxfId="1110">
      <pivotArea type="all" dataOnly="0" outline="0" fieldPosition="0"/>
    </format>
    <format dxfId="1109">
      <pivotArea outline="0" collapsedLevelsAreSubtotals="1" fieldPosition="0"/>
    </format>
    <format dxfId="1108">
      <pivotArea field="0" type="button" dataOnly="0" labelOnly="1" outline="0" axis="axisRow" fieldPosition="0"/>
    </format>
    <format dxfId="1107">
      <pivotArea dataOnly="0" labelOnly="1" fieldPosition="0">
        <references count="1">
          <reference field="0" count="0"/>
        </references>
      </pivotArea>
    </format>
    <format dxfId="1106">
      <pivotArea dataOnly="0" labelOnly="1" grandRow="1" outline="0" fieldPosition="0"/>
    </format>
    <format dxfId="1105">
      <pivotArea dataOnly="0" labelOnly="1" outline="0" fieldPosition="0">
        <references count="1">
          <reference field="4294967294" count="2">
            <x v="0"/>
            <x v="1"/>
          </reference>
        </references>
      </pivotArea>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fieldPosition="0">
        <references count="1">
          <reference field="4294967294" count="2">
            <x v="0"/>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Units Sold"/>
    <pivotHierarchy dragToData="1"/>
    <pivotHierarchy dragToData="1" caption="Average of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FE9A85-6F1A-4F5C-A6A4-0EF7F9B44083}" name="PivotTable6" cacheId="254" applyNumberFormats="0" applyBorderFormats="0" applyFontFormats="0" applyPatternFormats="0" applyAlignmentFormats="0" applyWidthHeightFormats="1" dataCaption="Values" tag="f4293ebf-f4a4-4078-bdd2-0b03395151c2" updatedVersion="8" minRefreshableVersion="5" useAutoFormatting="1" itemPrintTitles="1" createdVersion="5" indent="0" outline="1" outlineData="1" multipleFieldFilters="0" chartFormat="30">
  <location ref="I16:J19"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Gross Sales" fld="1" baseField="0" baseItem="0"/>
  </dataFields>
  <formats count="12">
    <format dxfId="1104">
      <pivotArea type="all" dataOnly="0" outline="0" fieldPosition="0"/>
    </format>
    <format dxfId="1103">
      <pivotArea outline="0" collapsedLevelsAreSubtotals="1" fieldPosition="0"/>
    </format>
    <format dxfId="1102">
      <pivotArea field="0" type="button" dataOnly="0" labelOnly="1" outline="0" axis="axisRow" fieldPosition="0"/>
    </format>
    <format dxfId="1101">
      <pivotArea dataOnly="0" labelOnly="1" fieldPosition="0">
        <references count="1">
          <reference field="0" count="0"/>
        </references>
      </pivotArea>
    </format>
    <format dxfId="1100">
      <pivotArea dataOnly="0" labelOnly="1" grandRow="1" outline="0" fieldPosition="0"/>
    </format>
    <format dxfId="1099">
      <pivotArea dataOnly="0" labelOnly="1" outline="0" axis="axisValues" fieldPosition="0"/>
    </format>
    <format dxfId="1027">
      <pivotArea type="all" dataOnly="0" outline="0" fieldPosition="0"/>
    </format>
    <format dxfId="1026">
      <pivotArea outline="0" collapsedLevelsAreSubtotals="1" fieldPosition="0"/>
    </format>
    <format dxfId="1025">
      <pivotArea field="0" type="button" dataOnly="0" labelOnly="1" outline="0" axis="axisRow" fieldPosition="0"/>
    </format>
    <format dxfId="1024">
      <pivotArea dataOnly="0" labelOnly="1" fieldPosition="0">
        <references count="1">
          <reference field="0" count="0"/>
        </references>
      </pivotArea>
    </format>
    <format dxfId="1023">
      <pivotArea dataOnly="0" labelOnly="1" grandRow="1" outline="0" fieldPosition="0"/>
    </format>
    <format dxfId="1022">
      <pivotArea dataOnly="0" labelOnly="1" outline="0" axis="axisValues" fieldPosition="0"/>
    </format>
  </formats>
  <chartFormats count="1">
    <chartFormat chart="27" format="2"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D550F2-C6B9-4861-9FBF-F6ED07C96CD3}" name="PivotTable3" cacheId="245" applyNumberFormats="0" applyBorderFormats="0" applyFontFormats="0" applyPatternFormats="0" applyAlignmentFormats="0" applyWidthHeightFormats="1" dataCaption="Values" tag="cfdcf3ab-e46d-4a92-82bf-14161d2e6840" updatedVersion="8" minRefreshableVersion="5" useAutoFormatting="1" itemPrintTitles="1" createdVersion="5" indent="0" outline="1" outlineData="1" multipleFieldFilters="0" chartFormat="8">
  <location ref="I4:K11" firstHeaderRow="0" firstDataRow="1" firstDataCol="1"/>
  <pivotFields count="5">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1"/>
    </i>
    <i>
      <x v="4"/>
    </i>
    <i>
      <x v="2"/>
    </i>
    <i>
      <x v="3"/>
    </i>
    <i>
      <x v="5"/>
    </i>
    <i>
      <x/>
    </i>
    <i t="grand">
      <x/>
    </i>
  </rowItems>
  <colFields count="1">
    <field x="-2"/>
  </colFields>
  <colItems count="2">
    <i>
      <x/>
    </i>
    <i i="1">
      <x v="1"/>
    </i>
  </colItems>
  <dataFields count="2">
    <dataField name="Average of Profit" fld="2" subtotal="average" baseField="0" baseItem="0"/>
    <dataField name="Sum of Units Sold" fld="1" baseField="0" baseItem="0"/>
  </dataFields>
  <formats count="12">
    <format dxfId="1097">
      <pivotArea type="all" dataOnly="0" outline="0" fieldPosition="0"/>
    </format>
    <format dxfId="1096">
      <pivotArea outline="0" collapsedLevelsAreSubtotals="1" fieldPosition="0"/>
    </format>
    <format dxfId="1095">
      <pivotArea field="0" type="button" dataOnly="0" labelOnly="1" outline="0" axis="axisRow" fieldPosition="0"/>
    </format>
    <format dxfId="1094">
      <pivotArea dataOnly="0" labelOnly="1" fieldPosition="0">
        <references count="1">
          <reference field="0" count="0"/>
        </references>
      </pivotArea>
    </format>
    <format dxfId="1093">
      <pivotArea dataOnly="0" labelOnly="1" grandRow="1" outline="0" fieldPosition="0"/>
    </format>
    <format dxfId="1092">
      <pivotArea dataOnly="0" labelOnly="1" outline="0" fieldPosition="0">
        <references count="1">
          <reference field="4294967294" count="2">
            <x v="0"/>
            <x v="1"/>
          </reference>
        </references>
      </pivotArea>
    </format>
    <format dxfId="1020">
      <pivotArea type="all" dataOnly="0" outline="0" fieldPosition="0"/>
    </format>
    <format dxfId="1019">
      <pivotArea outline="0" collapsedLevelsAreSubtotals="1" fieldPosition="0"/>
    </format>
    <format dxfId="1018">
      <pivotArea field="0" type="button" dataOnly="0" labelOnly="1" outline="0" axis="axisRow" fieldPosition="0"/>
    </format>
    <format dxfId="1017">
      <pivotArea dataOnly="0" labelOnly="1" fieldPosition="0">
        <references count="1">
          <reference field="0" count="0"/>
        </references>
      </pivotArea>
    </format>
    <format dxfId="1016">
      <pivotArea dataOnly="0" labelOnly="1" grandRow="1" outline="0" fieldPosition="0"/>
    </format>
    <format dxfId="1015">
      <pivotArea dataOnly="0" labelOnly="1" outline="0" fieldPosition="0">
        <references count="1">
          <reference field="4294967294" count="2">
            <x v="0"/>
            <x v="1"/>
          </reference>
        </references>
      </pivotArea>
    </format>
  </formats>
  <chartFormats count="14">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1"/>
          </reference>
        </references>
      </pivotArea>
    </chartFormat>
    <chartFormat chart="5" format="18">
      <pivotArea type="data" outline="0" fieldPosition="0">
        <references count="2">
          <reference field="4294967294" count="1" selected="0">
            <x v="0"/>
          </reference>
          <reference field="0" count="1" selected="0">
            <x v="2"/>
          </reference>
        </references>
      </pivotArea>
    </chartFormat>
    <chartFormat chart="5" format="19">
      <pivotArea type="data" outline="0" fieldPosition="0">
        <references count="2">
          <reference field="4294967294" count="1" selected="0">
            <x v="0"/>
          </reference>
          <reference field="0" count="1" selected="0">
            <x v="0"/>
          </reference>
        </references>
      </pivotArea>
    </chartFormat>
    <chartFormat chart="5" format="20">
      <pivotArea type="data" outline="0" fieldPosition="0">
        <references count="2">
          <reference field="4294967294" count="1" selected="0">
            <x v="0"/>
          </reference>
          <reference field="0" count="1" selected="0">
            <x v="4"/>
          </reference>
        </references>
      </pivotArea>
    </chartFormat>
    <chartFormat chart="5" format="21">
      <pivotArea type="data" outline="0" fieldPosition="0">
        <references count="2">
          <reference field="4294967294" count="1" selected="0">
            <x v="0"/>
          </reference>
          <reference field="0" count="1" selected="0">
            <x v="5"/>
          </reference>
        </references>
      </pivotArea>
    </chartFormat>
    <chartFormat chart="5" format="22">
      <pivotArea type="data" outline="0" fieldPosition="0">
        <references count="2">
          <reference field="4294967294" count="1" selected="0">
            <x v="0"/>
          </reference>
          <reference field="0" count="1" selected="0">
            <x v="3"/>
          </reference>
        </references>
      </pivotArea>
    </chartFormat>
    <chartFormat chart="5" format="23" series="1">
      <pivotArea type="data" outline="0" fieldPosition="0">
        <references count="1">
          <reference field="4294967294" count="1" selected="0">
            <x v="1"/>
          </reference>
        </references>
      </pivotArea>
    </chartFormat>
    <chartFormat chart="5" format="24">
      <pivotArea type="data" outline="0" fieldPosition="0">
        <references count="2">
          <reference field="4294967294" count="1" selected="0">
            <x v="1"/>
          </reference>
          <reference field="0" count="1" selected="0">
            <x v="1"/>
          </reference>
        </references>
      </pivotArea>
    </chartFormat>
    <chartFormat chart="5" format="25">
      <pivotArea type="data" outline="0" fieldPosition="0">
        <references count="2">
          <reference field="4294967294" count="1" selected="0">
            <x v="1"/>
          </reference>
          <reference field="0" count="1" selected="0">
            <x v="2"/>
          </reference>
        </references>
      </pivotArea>
    </chartFormat>
    <chartFormat chart="5" format="26">
      <pivotArea type="data" outline="0" fieldPosition="0">
        <references count="2">
          <reference field="4294967294" count="1" selected="0">
            <x v="1"/>
          </reference>
          <reference field="0" count="1" selected="0">
            <x v="0"/>
          </reference>
        </references>
      </pivotArea>
    </chartFormat>
    <chartFormat chart="5" format="27">
      <pivotArea type="data" outline="0" fieldPosition="0">
        <references count="2">
          <reference field="4294967294" count="1" selected="0">
            <x v="1"/>
          </reference>
          <reference field="0" count="1" selected="0">
            <x v="4"/>
          </reference>
        </references>
      </pivotArea>
    </chartFormat>
    <chartFormat chart="5" format="28">
      <pivotArea type="data" outline="0" fieldPosition="0">
        <references count="2">
          <reference field="4294967294" count="1" selected="0">
            <x v="1"/>
          </reference>
          <reference field="0" count="1" selected="0">
            <x v="5"/>
          </reference>
        </references>
      </pivotArea>
    </chartFormat>
    <chartFormat chart="5" format="29">
      <pivotArea type="data" outline="0" fieldPosition="0">
        <references count="2">
          <reference field="4294967294" count="1" selected="0">
            <x v="1"/>
          </reference>
          <reference field="0" count="1" selected="0">
            <x v="3"/>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09B509-EBFC-4A96-AAB2-A0BDA7A56587}" name="PivotTable7" cacheId="230" applyNumberFormats="0" applyBorderFormats="0" applyFontFormats="0" applyPatternFormats="0" applyAlignmentFormats="0" applyWidthHeightFormats="1" dataCaption="Values" tag="6efb6d88-faef-4f47-9105-b550a6880149" updatedVersion="8" minRefreshableVersion="5" useAutoFormatting="1" itemPrintTitles="1" createdVersion="5" indent="0" outline="1" outlineData="1" multipleFieldFilters="0" chartFormat="14">
  <location ref="A30:B37" firstHeaderRow="1" firstDataRow="1" firstDataCol="1"/>
  <pivotFields count="4">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3"/>
    </i>
    <i>
      <x v="4"/>
    </i>
    <i>
      <x v="5"/>
    </i>
    <i>
      <x/>
    </i>
    <i>
      <x v="2"/>
    </i>
    <i>
      <x v="1"/>
    </i>
    <i t="grand">
      <x/>
    </i>
  </rowItems>
  <colItems count="1">
    <i/>
  </colItems>
  <dataFields count="1">
    <dataField name="Sum of Discounts" fld="0" baseField="0" baseItem="0"/>
  </dataFields>
  <formats count="12">
    <format dxfId="1091">
      <pivotArea type="all" dataOnly="0" outline="0" fieldPosition="0"/>
    </format>
    <format dxfId="1090">
      <pivotArea outline="0" collapsedLevelsAreSubtotals="1" fieldPosition="0"/>
    </format>
    <format dxfId="1089">
      <pivotArea field="1" type="button" dataOnly="0" labelOnly="1" outline="0" axis="axisRow" fieldPosition="0"/>
    </format>
    <format dxfId="1088">
      <pivotArea dataOnly="0" labelOnly="1" fieldPosition="0">
        <references count="1">
          <reference field="1" count="0"/>
        </references>
      </pivotArea>
    </format>
    <format dxfId="1087">
      <pivotArea dataOnly="0" labelOnly="1" grandRow="1" outline="0" fieldPosition="0"/>
    </format>
    <format dxfId="1086">
      <pivotArea dataOnly="0" labelOnly="1" outline="0" axis="axisValues" fieldPosition="0"/>
    </format>
    <format dxfId="1014">
      <pivotArea type="all" dataOnly="0" outline="0" fieldPosition="0"/>
    </format>
    <format dxfId="1013">
      <pivotArea outline="0" collapsedLevelsAreSubtotals="1" fieldPosition="0"/>
    </format>
    <format dxfId="1012">
      <pivotArea field="1" type="button" dataOnly="0" labelOnly="1" outline="0" axis="axisRow" fieldPosition="0"/>
    </format>
    <format dxfId="1011">
      <pivotArea dataOnly="0" labelOnly="1" fieldPosition="0">
        <references count="1">
          <reference field="1" count="0"/>
        </references>
      </pivotArea>
    </format>
    <format dxfId="1010">
      <pivotArea dataOnly="0" labelOnly="1" grandRow="1" outline="0" fieldPosition="0"/>
    </format>
    <format dxfId="1009">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D201F7-E9DB-43FE-8E1C-16A05B7AFBA4}" name="PivotTable11" cacheId="239" applyNumberFormats="0" applyBorderFormats="0" applyFontFormats="0" applyPatternFormats="0" applyAlignmentFormats="0" applyWidthHeightFormats="1" dataCaption="Values" tag="db2125a8-1b81-49ad-ad32-2deda37a8133" updatedVersion="8" minRefreshableVersion="5" useAutoFormatting="1" itemPrintTitles="1" createdVersion="5" indent="0" outline="1" outlineData="1" multipleFieldFilters="0" chartFormat="21" rowHeaderCaption="Country">
  <location ref="I38:J44"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v="4"/>
    </i>
    <i>
      <x v="1"/>
    </i>
    <i>
      <x/>
    </i>
    <i t="grand">
      <x/>
    </i>
  </rowItems>
  <colItems count="1">
    <i/>
  </colItems>
  <dataFields count="1">
    <dataField name="Total Units Sold" fld="0" baseField="1" baseItem="2"/>
  </dataFields>
  <formats count="12">
    <format dxfId="1084">
      <pivotArea type="all" dataOnly="0" outline="0" fieldPosition="0"/>
    </format>
    <format dxfId="1083">
      <pivotArea outline="0" collapsedLevelsAreSubtotals="1" fieldPosition="0"/>
    </format>
    <format dxfId="1082">
      <pivotArea field="1" type="button" dataOnly="0" labelOnly="1" outline="0" axis="axisRow" fieldPosition="0"/>
    </format>
    <format dxfId="1081">
      <pivotArea dataOnly="0" labelOnly="1" fieldPosition="0">
        <references count="1">
          <reference field="1" count="0"/>
        </references>
      </pivotArea>
    </format>
    <format dxfId="1080">
      <pivotArea dataOnly="0" labelOnly="1" grandRow="1" outline="0" fieldPosition="0"/>
    </format>
    <format dxfId="1079">
      <pivotArea dataOnly="0" labelOnly="1" outline="0" axis="axisValues" fieldPosition="0"/>
    </format>
    <format dxfId="1007">
      <pivotArea type="all" dataOnly="0" outline="0" fieldPosition="0"/>
    </format>
    <format dxfId="1006">
      <pivotArea outline="0" collapsedLevelsAreSubtotals="1" fieldPosition="0"/>
    </format>
    <format dxfId="1005">
      <pivotArea field="1" type="button" dataOnly="0" labelOnly="1" outline="0" axis="axisRow" fieldPosition="0"/>
    </format>
    <format dxfId="1004">
      <pivotArea dataOnly="0" labelOnly="1" fieldPosition="0">
        <references count="1">
          <reference field="1" count="0"/>
        </references>
      </pivotArea>
    </format>
    <format dxfId="1003">
      <pivotArea dataOnly="0" labelOnly="1" grandRow="1" outline="0" fieldPosition="0"/>
    </format>
    <format dxfId="1002">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Units Sol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1FA638-7F32-43B9-9154-BB3DC15C763C}" name="PivotTable5" cacheId="251" applyNumberFormats="0" applyBorderFormats="0" applyFontFormats="0" applyPatternFormats="0" applyAlignmentFormats="0" applyWidthHeightFormats="1" dataCaption="Values" tag="6a1afb9c-5be9-41d1-a859-79a220221e17" updatedVersion="8" minRefreshableVersion="5" useAutoFormatting="1" itemPrintTitles="1" createdVersion="5" indent="0" outline="1" outlineData="1" multipleFieldFilters="0" chartFormat="10">
  <location ref="E15:F21" firstHeaderRow="1" firstDataRow="1" firstDataCol="1"/>
  <pivotFields count="4">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3"/>
    </i>
    <i>
      <x v="1"/>
    </i>
    <i>
      <x v="4"/>
    </i>
    <i>
      <x v="2"/>
    </i>
    <i t="grand">
      <x/>
    </i>
  </rowItems>
  <colItems count="1">
    <i/>
  </colItems>
  <dataFields count="1">
    <dataField name="Sum of Gross Sales" fld="0" baseField="0" baseItem="0"/>
  </dataFields>
  <formats count="12">
    <format dxfId="1077">
      <pivotArea type="all" dataOnly="0" outline="0" fieldPosition="0"/>
    </format>
    <format dxfId="1076">
      <pivotArea outline="0" collapsedLevelsAreSubtotals="1" fieldPosition="0"/>
    </format>
    <format dxfId="1075">
      <pivotArea field="1" type="button" dataOnly="0" labelOnly="1" outline="0" axis="axisRow" fieldPosition="0"/>
    </format>
    <format dxfId="1074">
      <pivotArea dataOnly="0" labelOnly="1" fieldPosition="0">
        <references count="1">
          <reference field="1" count="0"/>
        </references>
      </pivotArea>
    </format>
    <format dxfId="1073">
      <pivotArea dataOnly="0" labelOnly="1" grandRow="1" outline="0" fieldPosition="0"/>
    </format>
    <format dxfId="1072">
      <pivotArea dataOnly="0" labelOnly="1" outline="0" axis="axisValues" fieldPosition="0"/>
    </format>
    <format dxfId="1000">
      <pivotArea type="all" dataOnly="0" outline="0" fieldPosition="0"/>
    </format>
    <format dxfId="999">
      <pivotArea outline="0" collapsedLevelsAreSubtotals="1" fieldPosition="0"/>
    </format>
    <format dxfId="998">
      <pivotArea field="1" type="button" dataOnly="0" labelOnly="1" outline="0" axis="axisRow" fieldPosition="0"/>
    </format>
    <format dxfId="997">
      <pivotArea dataOnly="0" labelOnly="1" fieldPosition="0">
        <references count="1">
          <reference field="1" count="0"/>
        </references>
      </pivotArea>
    </format>
    <format dxfId="996">
      <pivotArea dataOnly="0" labelOnly="1" grandRow="1" outline="0" fieldPosition="0"/>
    </format>
    <format dxfId="99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heet1].[Year].&amp;[2013]"/>
        <member name="[Sheet1].[Year].&amp;[201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5337F77-379C-4AFB-911C-1BEF6BAFAD1D}" sourceName="[Sheet1].[Product]">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s>
  <data>
    <olap pivotCacheId="745971983">
      <levels count="2">
        <level uniqueName="[Sheet1].[Product].[(All)]" sourceCaption="(All)" count="0"/>
        <level uniqueName="[Sheet1].[Product].[Product]" sourceCaption="Product" count="7">
          <ranges>
            <range startItem="0">
              <i n="[Sheet1].[Product].&amp;[Amarilla]" c="Amarilla"/>
              <i n="[Sheet1].[Product].&amp;[Carretera]" c="Carretera"/>
              <i n="[Sheet1].[Product].&amp;[Montana]" c="Montana"/>
              <i n="[Sheet1].[Product].&amp;[Paseo]" c="Paseo"/>
              <i n="[Sheet1].[Product].&amp;[Velo]" c="Velo"/>
              <i n="[Sheet1].[Product].&amp;[VTT]" c="VTT"/>
              <i n="[Sheet1].[Product].&amp;" c="(blank)" nd="1"/>
            </range>
          </ranges>
        </level>
      </levels>
      <selections count="1">
        <selection n="[Sheet1].[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792624C-8D4B-4D1C-AA68-BC9ADD9B892B}" sourceName="[Sheet1].[Country]">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olap pivotCacheId="745971983">
      <levels count="2">
        <level uniqueName="[Sheet1].[Country].[(All)]" sourceCaption="(All)" count="0"/>
        <level uniqueName="[Sheet1].[Country].[Country]" sourceCaption="Country" count="6">
          <ranges>
            <range startItem="0">
              <i n="[Sheet1].[Country].&amp;[Canada]" c="Canada"/>
              <i n="[Sheet1].[Country].&amp;[France]" c="France"/>
              <i n="[Sheet1].[Country].&amp;[Germany]" c="Germany"/>
              <i n="[Sheet1].[Country].&amp;[Mexico]" c="Mexico"/>
              <i n="[Sheet1].[Country].&amp;[United States of America]" c="United States of America"/>
              <i n="[Sheet1].[Country].&amp;" c="(blank)" nd="1"/>
            </range>
          </ranges>
        </level>
      </levels>
      <selections count="1">
        <selection n="[Sheet1].[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0102154-1E30-4525-93CC-53555B21E664}" sourceName="[Sheet1].[Segment]">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olap pivotCacheId="745971983">
      <levels count="2">
        <level uniqueName="[Sheet1].[Segment].[(All)]" sourceCaption="(All)" count="0"/>
        <level uniqueName="[Sheet1].[Segment].[Segment]" sourceCaption="Segment" count="6">
          <ranges>
            <range startItem="0">
              <i n="[Sheet1].[Segment].&amp;[Channel Partners]" c="Channel Partners"/>
              <i n="[Sheet1].[Segment].&amp;[Enterprise]" c="Enterprise"/>
              <i n="[Sheet1].[Segment].&amp;[Government]" c="Government"/>
              <i n="[Sheet1].[Segment].&amp;[Midmarket]" c="Midmarket"/>
              <i n="[Sheet1].[Segment].&amp;[Small Business]" c="Small Business"/>
              <i n="[Sheet1].[Segment].&amp;" c="(blank)" nd="1"/>
            </range>
          </ranges>
        </level>
      </levels>
      <selections count="1">
        <selection n="[Sheet1].[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E630ED-1D1D-4010-A4E2-A9092FD9B12E}" sourceName="[Sheet1].[Year]">
  <pivotTables>
    <pivotTable tabId="3"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s>
  <data>
    <olap pivotCacheId="745971983">
      <levels count="2">
        <level uniqueName="[Sheet1].[Year].[(All)]" sourceCaption="(All)" count="0"/>
        <level uniqueName="[Sheet1].[Year].[Year]" sourceCaption="Year" count="3">
          <ranges>
            <range startItem="0">
              <i n="[Sheet1].[Year].&amp;[2013]" c="2013"/>
              <i n="[Sheet1].[Year].&amp;[2014]" c="2014"/>
              <i n="[Sheet1].[Year].&amp;" c="(blank)" nd="1"/>
            </range>
          </ranges>
        </level>
      </levels>
      <selections count="2">
        <selection n="[Sheet1].[Year].&amp;[2013]"/>
        <selection n="[Sheet1].[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EDB6CFD-5B4E-42A0-96E8-6651EAA83B4A}" cache="Slicer_Product" caption="Product" level="1" rowHeight="247650"/>
  <slicer name="Country" xr10:uid="{32AC68D4-CD92-43A6-9487-DFA2C06358B2}" cache="Slicer_Country" caption="Country" startItem="1" level="1" rowHeight="247650"/>
  <slicer name="Segment" xr10:uid="{422D135E-555F-423D-8E8D-9E947C6B4157}" cache="Slicer_Segment" caption="Segment" level="1" rowHeight="247650"/>
  <slicer name="Year" xr10:uid="{42B19410-CEA0-4BFD-9339-870330EEC4AE}" cache="Slicer_Year" caption="Year" level="1" rowHeight="24765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B9310C6A-A6E9-4621-A2CE-29781A3162B3}" sourceName="[Sheet1].[Date]">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state minimalRefreshVersion="6" lastRefreshVersion="6" pivotCacheId="489996999"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E4A3EA7-9C0A-4047-85BC-1F05ABDE15CC}" cache="Timeline_Date" caption="Date" level="2" selectionLevel="2" scrollPosition="2014-07-2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DB59-6978-4A0B-8CA7-1DE79F69BCF4}">
  <dimension ref="A3:L50"/>
  <sheetViews>
    <sheetView topLeftCell="A27" workbookViewId="0">
      <selection activeCell="D39" sqref="D39"/>
    </sheetView>
  </sheetViews>
  <sheetFormatPr defaultRowHeight="14.4" x14ac:dyDescent="0.3"/>
  <cols>
    <col min="1" max="1" width="12.44140625" style="9" bestFit="1" customWidth="1"/>
    <col min="2" max="2" width="14.77734375" style="9" bestFit="1" customWidth="1"/>
    <col min="3" max="3" width="14.88671875" style="9" bestFit="1" customWidth="1"/>
    <col min="4" max="4" width="12.109375" style="9" customWidth="1"/>
    <col min="5" max="5" width="15" style="9" bestFit="1" customWidth="1"/>
    <col min="6" max="6" width="16.77734375" style="9" bestFit="1" customWidth="1"/>
    <col min="7" max="7" width="14.44140625" style="9" bestFit="1" customWidth="1"/>
    <col min="8" max="8" width="13.88671875" style="9" bestFit="1" customWidth="1"/>
    <col min="9" max="9" width="20.77734375" style="9" bestFit="1" customWidth="1"/>
    <col min="10" max="11" width="13.88671875" style="9" bestFit="1" customWidth="1"/>
    <col min="12" max="12" width="14.88671875" style="9" bestFit="1" customWidth="1"/>
    <col min="13" max="13" width="12.44140625" style="9" bestFit="1" customWidth="1"/>
    <col min="14" max="14" width="17.5546875" style="9" customWidth="1"/>
    <col min="15" max="22" width="12.77734375" style="9" bestFit="1" customWidth="1"/>
    <col min="23" max="23" width="13.88671875" style="9" bestFit="1" customWidth="1"/>
    <col min="24" max="24" width="12.77734375" style="9" bestFit="1" customWidth="1"/>
    <col min="25" max="25" width="13.88671875" style="9" bestFit="1" customWidth="1"/>
    <col min="26" max="26" width="14.88671875" style="9" bestFit="1" customWidth="1"/>
    <col min="27" max="16384" width="8.88671875" style="9"/>
  </cols>
  <sheetData>
    <row r="3" spans="1:11" ht="16.2" x14ac:dyDescent="0.4">
      <c r="A3" s="8" t="s">
        <v>41</v>
      </c>
      <c r="B3" s="8"/>
      <c r="C3" s="8"/>
      <c r="E3" s="10" t="s">
        <v>42</v>
      </c>
      <c r="F3" s="10"/>
      <c r="G3" s="10"/>
      <c r="I3" s="10" t="s">
        <v>43</v>
      </c>
      <c r="J3" s="10"/>
      <c r="K3" s="10"/>
    </row>
    <row r="4" spans="1:11" x14ac:dyDescent="0.3">
      <c r="A4" s="9" t="s">
        <v>3</v>
      </c>
      <c r="B4" s="9" t="s">
        <v>37</v>
      </c>
      <c r="C4" s="9" t="s">
        <v>38</v>
      </c>
      <c r="E4" s="9" t="s">
        <v>3</v>
      </c>
      <c r="F4" s="9" t="s">
        <v>16</v>
      </c>
      <c r="G4" s="9" t="s">
        <v>9</v>
      </c>
      <c r="I4" s="9" t="s">
        <v>3</v>
      </c>
      <c r="J4" s="9" t="s">
        <v>9</v>
      </c>
      <c r="K4" s="9" t="s">
        <v>38</v>
      </c>
    </row>
    <row r="5" spans="1:11" x14ac:dyDescent="0.3">
      <c r="A5" s="11" t="s">
        <v>2</v>
      </c>
      <c r="B5" s="17">
        <v>3856812.32</v>
      </c>
      <c r="C5" s="18">
        <v>260984</v>
      </c>
      <c r="E5" s="11" t="s">
        <v>6</v>
      </c>
      <c r="F5" s="18">
        <v>197880</v>
      </c>
      <c r="G5" s="17">
        <v>28396.19</v>
      </c>
      <c r="I5" s="11" t="s">
        <v>11</v>
      </c>
      <c r="J5" s="17">
        <v>21132.674500000001</v>
      </c>
      <c r="K5" s="18">
        <v>143640</v>
      </c>
    </row>
    <row r="6" spans="1:11" x14ac:dyDescent="0.3">
      <c r="A6" s="11" t="s">
        <v>1</v>
      </c>
      <c r="B6" s="17">
        <v>12968229.970000001</v>
      </c>
      <c r="C6" s="18">
        <v>846793</v>
      </c>
      <c r="E6" s="11" t="s">
        <v>5</v>
      </c>
      <c r="F6" s="18">
        <v>238242</v>
      </c>
      <c r="G6" s="17">
        <v>28349.116699999999</v>
      </c>
      <c r="I6" s="11" t="s">
        <v>14</v>
      </c>
      <c r="J6" s="17">
        <v>22697.530200000001</v>
      </c>
      <c r="K6" s="18">
        <v>159124.5</v>
      </c>
    </row>
    <row r="7" spans="1:11" ht="13.2" customHeight="1" x14ac:dyDescent="0.3">
      <c r="A7" s="11" t="s">
        <v>0</v>
      </c>
      <c r="B7" s="17">
        <v>16825042.289999999</v>
      </c>
      <c r="C7" s="18">
        <v>1107777</v>
      </c>
      <c r="E7" s="11" t="s">
        <v>4</v>
      </c>
      <c r="F7" s="18">
        <v>243859.5</v>
      </c>
      <c r="G7" s="17">
        <v>26672.62</v>
      </c>
      <c r="I7" s="11" t="s">
        <v>12</v>
      </c>
      <c r="J7" s="17">
        <v>23734.6492</v>
      </c>
      <c r="K7" s="18">
        <v>152485</v>
      </c>
    </row>
    <row r="8" spans="1:11" x14ac:dyDescent="0.3">
      <c r="E8" s="11" t="s">
        <v>8</v>
      </c>
      <c r="F8" s="18">
        <v>228313.5</v>
      </c>
      <c r="G8" s="17">
        <v>22932.4218</v>
      </c>
      <c r="I8" s="11" t="s">
        <v>13</v>
      </c>
      <c r="J8" s="17">
        <v>25653.775600000001</v>
      </c>
      <c r="K8" s="18">
        <v>332492.5</v>
      </c>
    </row>
    <row r="9" spans="1:11" x14ac:dyDescent="0.3">
      <c r="A9" s="11"/>
      <c r="B9" s="12"/>
      <c r="E9" s="11" t="s">
        <v>7</v>
      </c>
      <c r="F9" s="18">
        <v>199482</v>
      </c>
      <c r="G9" s="17">
        <v>22226.927500000002</v>
      </c>
      <c r="I9" s="11" t="s">
        <v>15</v>
      </c>
      <c r="J9" s="17">
        <v>29683.797600000002</v>
      </c>
      <c r="K9" s="18">
        <v>166229</v>
      </c>
    </row>
    <row r="10" spans="1:11" x14ac:dyDescent="0.3">
      <c r="A10" s="11"/>
      <c r="B10" s="12"/>
      <c r="E10" s="11" t="s">
        <v>0</v>
      </c>
      <c r="F10" s="18">
        <v>1107777</v>
      </c>
      <c r="G10" s="17">
        <v>25726.364399999999</v>
      </c>
      <c r="I10" s="11" t="s">
        <v>10</v>
      </c>
      <c r="J10" s="17">
        <v>31149.425899999998</v>
      </c>
      <c r="K10" s="18">
        <v>153806</v>
      </c>
    </row>
    <row r="11" spans="1:11" ht="16.2" x14ac:dyDescent="0.4">
      <c r="A11" s="10" t="s">
        <v>44</v>
      </c>
      <c r="B11" s="10"/>
      <c r="I11" s="11" t="s">
        <v>0</v>
      </c>
      <c r="J11" s="17">
        <v>25726.364399999999</v>
      </c>
      <c r="K11" s="18">
        <v>1107777</v>
      </c>
    </row>
    <row r="12" spans="1:11" x14ac:dyDescent="0.3">
      <c r="A12" s="9" t="s">
        <v>3</v>
      </c>
      <c r="B12" s="9" t="s">
        <v>17</v>
      </c>
    </row>
    <row r="13" spans="1:11" x14ac:dyDescent="0.3">
      <c r="A13" s="11" t="s">
        <v>25</v>
      </c>
      <c r="B13" s="17">
        <v>6122185</v>
      </c>
    </row>
    <row r="14" spans="1:11" ht="16.2" x14ac:dyDescent="0.4">
      <c r="A14" s="11" t="s">
        <v>19</v>
      </c>
      <c r="B14" s="17">
        <v>6321213</v>
      </c>
      <c r="E14" s="10" t="s">
        <v>45</v>
      </c>
      <c r="F14" s="10"/>
    </row>
    <row r="15" spans="1:11" ht="16.2" x14ac:dyDescent="0.4">
      <c r="A15" s="11" t="s">
        <v>26</v>
      </c>
      <c r="B15" s="17">
        <v>6759903</v>
      </c>
      <c r="E15" s="9" t="s">
        <v>3</v>
      </c>
      <c r="F15" s="9" t="s">
        <v>17</v>
      </c>
      <c r="I15" s="10" t="s">
        <v>46</v>
      </c>
      <c r="J15" s="10"/>
    </row>
    <row r="16" spans="1:11" x14ac:dyDescent="0.3">
      <c r="A16" s="11" t="s">
        <v>22</v>
      </c>
      <c r="B16" s="17">
        <v>7301643.5</v>
      </c>
      <c r="E16" s="11" t="s">
        <v>30</v>
      </c>
      <c r="F16" s="17">
        <v>1887846</v>
      </c>
      <c r="I16" s="9" t="s">
        <v>3</v>
      </c>
      <c r="J16" s="9" t="s">
        <v>17</v>
      </c>
    </row>
    <row r="17" spans="1:12" x14ac:dyDescent="0.3">
      <c r="A17" s="11" t="s">
        <v>18</v>
      </c>
      <c r="B17" s="17">
        <v>7424331.5</v>
      </c>
      <c r="E17" s="11" t="s">
        <v>33</v>
      </c>
      <c r="F17" s="17">
        <v>2555280</v>
      </c>
      <c r="I17" s="11" t="s">
        <v>2</v>
      </c>
      <c r="J17" s="17">
        <v>28513347</v>
      </c>
    </row>
    <row r="18" spans="1:12" x14ac:dyDescent="0.3">
      <c r="A18" s="11" t="s">
        <v>21</v>
      </c>
      <c r="B18" s="17">
        <v>7678524</v>
      </c>
      <c r="E18" s="11" t="s">
        <v>31</v>
      </c>
      <c r="F18" s="17">
        <v>21069000</v>
      </c>
      <c r="I18" s="11" t="s">
        <v>1</v>
      </c>
      <c r="J18" s="17">
        <v>99229723.5</v>
      </c>
    </row>
    <row r="19" spans="1:12" x14ac:dyDescent="0.3">
      <c r="A19" s="11" t="s">
        <v>23</v>
      </c>
      <c r="B19" s="17">
        <v>8822890.5</v>
      </c>
      <c r="E19" s="11" t="s">
        <v>34</v>
      </c>
      <c r="F19" s="17">
        <v>45941700</v>
      </c>
      <c r="I19" s="11" t="s">
        <v>0</v>
      </c>
      <c r="J19" s="17">
        <v>127743070.5</v>
      </c>
    </row>
    <row r="20" spans="1:12" x14ac:dyDescent="0.3">
      <c r="A20" s="11" t="s">
        <v>24</v>
      </c>
      <c r="B20" s="17">
        <v>10268972</v>
      </c>
      <c r="E20" s="11" t="s">
        <v>32</v>
      </c>
      <c r="F20" s="17">
        <v>56289244.5</v>
      </c>
    </row>
    <row r="21" spans="1:12" x14ac:dyDescent="0.3">
      <c r="A21" s="11" t="s">
        <v>29</v>
      </c>
      <c r="B21" s="17">
        <v>11562599</v>
      </c>
      <c r="E21" s="11" t="s">
        <v>0</v>
      </c>
      <c r="F21" s="17">
        <v>127743070.5</v>
      </c>
    </row>
    <row r="22" spans="1:12" x14ac:dyDescent="0.3">
      <c r="A22" s="11" t="s">
        <v>27</v>
      </c>
      <c r="B22" s="17">
        <v>14100290</v>
      </c>
    </row>
    <row r="23" spans="1:12" ht="16.2" x14ac:dyDescent="0.4">
      <c r="A23" s="11" t="s">
        <v>20</v>
      </c>
      <c r="B23" s="17">
        <v>18303007</v>
      </c>
      <c r="I23" s="10" t="s">
        <v>48</v>
      </c>
      <c r="J23" s="10"/>
      <c r="K23" s="10"/>
      <c r="L23" s="10"/>
    </row>
    <row r="24" spans="1:12" x14ac:dyDescent="0.3">
      <c r="A24" s="11" t="s">
        <v>28</v>
      </c>
      <c r="B24" s="17">
        <v>23077512</v>
      </c>
      <c r="I24" s="9" t="s">
        <v>35</v>
      </c>
      <c r="J24" s="9" t="s">
        <v>49</v>
      </c>
    </row>
    <row r="25" spans="1:12" ht="16.2" x14ac:dyDescent="0.4">
      <c r="A25" s="11" t="s">
        <v>0</v>
      </c>
      <c r="B25" s="17">
        <v>127743070.5</v>
      </c>
      <c r="E25" s="13" t="s">
        <v>54</v>
      </c>
      <c r="F25" s="13"/>
      <c r="G25" s="14"/>
      <c r="J25" s="9" t="s">
        <v>2</v>
      </c>
      <c r="K25" s="9" t="s">
        <v>1</v>
      </c>
      <c r="L25" s="9" t="s">
        <v>0</v>
      </c>
    </row>
    <row r="26" spans="1:12" x14ac:dyDescent="0.3">
      <c r="E26" s="9" t="s">
        <v>51</v>
      </c>
      <c r="F26" s="9" t="s">
        <v>52</v>
      </c>
    </row>
    <row r="27" spans="1:12" x14ac:dyDescent="0.3">
      <c r="E27" s="11" t="s">
        <v>13</v>
      </c>
      <c r="F27" s="18">
        <v>332492.5</v>
      </c>
    </row>
    <row r="28" spans="1:12" x14ac:dyDescent="0.3">
      <c r="E28" s="11" t="s">
        <v>15</v>
      </c>
      <c r="F28" s="18">
        <v>166229</v>
      </c>
      <c r="I28" s="9" t="s">
        <v>3</v>
      </c>
    </row>
    <row r="29" spans="1:12" ht="16.2" x14ac:dyDescent="0.4">
      <c r="A29" s="10" t="s">
        <v>47</v>
      </c>
      <c r="B29" s="10"/>
      <c r="E29" s="11" t="s">
        <v>14</v>
      </c>
      <c r="F29" s="18">
        <v>159124.5</v>
      </c>
      <c r="I29" s="11" t="s">
        <v>8</v>
      </c>
      <c r="J29" s="17">
        <v>5618907</v>
      </c>
      <c r="K29" s="17">
        <v>21609451</v>
      </c>
      <c r="L29" s="17">
        <v>27228358</v>
      </c>
    </row>
    <row r="30" spans="1:12" x14ac:dyDescent="0.3">
      <c r="A30" s="9" t="s">
        <v>3</v>
      </c>
      <c r="B30" s="9" t="s">
        <v>39</v>
      </c>
      <c r="E30" s="11" t="s">
        <v>10</v>
      </c>
      <c r="F30" s="18">
        <v>153806</v>
      </c>
      <c r="I30" s="11" t="s">
        <v>4</v>
      </c>
      <c r="J30" s="17">
        <v>5555386</v>
      </c>
      <c r="K30" s="17">
        <v>21343182.5</v>
      </c>
      <c r="L30" s="17">
        <v>26898568.5</v>
      </c>
    </row>
    <row r="31" spans="1:12" x14ac:dyDescent="0.3">
      <c r="A31" s="11" t="s">
        <v>13</v>
      </c>
      <c r="B31" s="17">
        <v>2593567.7400000002</v>
      </c>
      <c r="E31" s="11" t="s">
        <v>12</v>
      </c>
      <c r="F31" s="18">
        <v>152485</v>
      </c>
      <c r="I31" s="11" t="s">
        <v>5</v>
      </c>
      <c r="J31" s="17">
        <v>5572396</v>
      </c>
      <c r="K31" s="17">
        <v>20478739.5</v>
      </c>
      <c r="L31" s="17">
        <v>26051135.5</v>
      </c>
    </row>
    <row r="32" spans="1:12" x14ac:dyDescent="0.3">
      <c r="A32" s="11" t="s">
        <v>14</v>
      </c>
      <c r="B32" s="17">
        <v>1573661.9450000001</v>
      </c>
      <c r="E32" s="11" t="s">
        <v>11</v>
      </c>
      <c r="F32" s="18">
        <v>143640</v>
      </c>
      <c r="I32" s="11" t="s">
        <v>6</v>
      </c>
      <c r="J32" s="17">
        <v>6630265</v>
      </c>
      <c r="K32" s="17">
        <v>18250859.5</v>
      </c>
      <c r="L32" s="17">
        <v>24881124.5</v>
      </c>
    </row>
    <row r="33" spans="1:12" x14ac:dyDescent="0.3">
      <c r="A33" s="11" t="s">
        <v>15</v>
      </c>
      <c r="B33" s="17">
        <v>1453885.14</v>
      </c>
      <c r="E33" s="11" t="s">
        <v>0</v>
      </c>
      <c r="F33" s="18">
        <v>1107777</v>
      </c>
      <c r="I33" s="11" t="s">
        <v>7</v>
      </c>
      <c r="J33" s="17">
        <v>5136393</v>
      </c>
      <c r="K33" s="17">
        <v>17547491</v>
      </c>
      <c r="L33" s="17">
        <v>22683884</v>
      </c>
    </row>
    <row r="34" spans="1:12" x14ac:dyDescent="0.3">
      <c r="A34" s="11" t="s">
        <v>10</v>
      </c>
      <c r="B34" s="17">
        <v>1288522.17</v>
      </c>
      <c r="I34" s="11" t="s">
        <v>0</v>
      </c>
      <c r="J34" s="17">
        <v>28513347</v>
      </c>
      <c r="K34" s="17">
        <v>99229723.5</v>
      </c>
      <c r="L34" s="17">
        <v>127743070.5</v>
      </c>
    </row>
    <row r="35" spans="1:12" x14ac:dyDescent="0.3">
      <c r="A35" s="11" t="s">
        <v>12</v>
      </c>
      <c r="B35" s="17">
        <v>1157977.72</v>
      </c>
    </row>
    <row r="36" spans="1:12" x14ac:dyDescent="0.3">
      <c r="A36" s="11" t="s">
        <v>11</v>
      </c>
      <c r="B36" s="17">
        <v>1119924.4950000001</v>
      </c>
    </row>
    <row r="37" spans="1:12" ht="15.6" x14ac:dyDescent="0.4">
      <c r="A37" s="11" t="s">
        <v>0</v>
      </c>
      <c r="B37" s="17">
        <v>9187539.2100000009</v>
      </c>
      <c r="E37" s="15"/>
      <c r="F37" s="15"/>
      <c r="I37" s="16" t="s">
        <v>55</v>
      </c>
      <c r="J37" s="16"/>
    </row>
    <row r="38" spans="1:12" x14ac:dyDescent="0.3">
      <c r="I38" s="9" t="s">
        <v>53</v>
      </c>
      <c r="J38" s="9" t="s">
        <v>52</v>
      </c>
    </row>
    <row r="39" spans="1:12" x14ac:dyDescent="0.3">
      <c r="I39" s="11" t="s">
        <v>6</v>
      </c>
      <c r="J39" s="18">
        <v>197880</v>
      </c>
    </row>
    <row r="40" spans="1:12" x14ac:dyDescent="0.3">
      <c r="I40" s="11" t="s">
        <v>7</v>
      </c>
      <c r="J40" s="18">
        <v>199482</v>
      </c>
    </row>
    <row r="41" spans="1:12" x14ac:dyDescent="0.3">
      <c r="I41" s="11" t="s">
        <v>8</v>
      </c>
      <c r="J41" s="18">
        <v>228313.5</v>
      </c>
    </row>
    <row r="42" spans="1:12" x14ac:dyDescent="0.3">
      <c r="I42" s="11" t="s">
        <v>5</v>
      </c>
      <c r="J42" s="18">
        <v>238242</v>
      </c>
    </row>
    <row r="43" spans="1:12" x14ac:dyDescent="0.3">
      <c r="A43" s="9" t="s">
        <v>3</v>
      </c>
      <c r="B43" s="9" t="s">
        <v>40</v>
      </c>
      <c r="C43" s="9" t="s">
        <v>50</v>
      </c>
      <c r="I43" s="11" t="s">
        <v>4</v>
      </c>
      <c r="J43" s="18">
        <v>243859.5</v>
      </c>
    </row>
    <row r="44" spans="1:12" x14ac:dyDescent="0.3">
      <c r="A44" s="11" t="s">
        <v>13</v>
      </c>
      <c r="B44" s="18">
        <v>186</v>
      </c>
      <c r="C44" s="17">
        <v>32947668.260000002</v>
      </c>
      <c r="I44" s="11" t="s">
        <v>0</v>
      </c>
      <c r="J44" s="18">
        <v>1107777</v>
      </c>
    </row>
    <row r="45" spans="1:12" x14ac:dyDescent="0.3">
      <c r="A45" s="11" t="s">
        <v>15</v>
      </c>
      <c r="B45" s="18">
        <v>102</v>
      </c>
      <c r="C45" s="17">
        <v>20489490.359999999</v>
      </c>
    </row>
    <row r="46" spans="1:12" x14ac:dyDescent="0.3">
      <c r="A46" s="11" t="s">
        <v>14</v>
      </c>
      <c r="B46" s="18">
        <v>101</v>
      </c>
      <c r="C46" s="17">
        <v>18217431.555</v>
      </c>
    </row>
    <row r="47" spans="1:12" x14ac:dyDescent="0.3">
      <c r="A47" s="11" t="s">
        <v>10</v>
      </c>
      <c r="B47" s="18">
        <v>90</v>
      </c>
      <c r="C47" s="17">
        <v>17729686.329999998</v>
      </c>
    </row>
    <row r="48" spans="1:12" x14ac:dyDescent="0.3">
      <c r="A48" s="11" t="s">
        <v>12</v>
      </c>
      <c r="B48" s="18">
        <v>89</v>
      </c>
      <c r="C48" s="17">
        <v>15379865.779999999</v>
      </c>
    </row>
    <row r="49" spans="1:3" x14ac:dyDescent="0.3">
      <c r="A49" s="11" t="s">
        <v>11</v>
      </c>
      <c r="B49" s="18">
        <v>86</v>
      </c>
      <c r="C49" s="17">
        <v>13791389.005000001</v>
      </c>
    </row>
    <row r="50" spans="1:3" x14ac:dyDescent="0.3">
      <c r="A50" s="11" t="s">
        <v>0</v>
      </c>
      <c r="B50" s="18">
        <v>654</v>
      </c>
      <c r="C50" s="17">
        <v>118555531.29000001</v>
      </c>
    </row>
  </sheetData>
  <mergeCells count="10">
    <mergeCell ref="I37:J37"/>
    <mergeCell ref="E25:F25"/>
    <mergeCell ref="A29:B29"/>
    <mergeCell ref="I23:L23"/>
    <mergeCell ref="A3:C3"/>
    <mergeCell ref="E3:G3"/>
    <mergeCell ref="I3:K3"/>
    <mergeCell ref="A11:B11"/>
    <mergeCell ref="E14:F14"/>
    <mergeCell ref="I15:J15"/>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18E7-16BE-4B2E-A6E2-C23FC1EE5745}">
  <dimension ref="A1:Z56"/>
  <sheetViews>
    <sheetView showGridLines="0" showRowColHeaders="0" tabSelected="1" topLeftCell="A4" zoomScale="98" zoomScaleNormal="98" workbookViewId="0">
      <selection sqref="A1:Z4"/>
    </sheetView>
  </sheetViews>
  <sheetFormatPr defaultRowHeight="14.4" x14ac:dyDescent="0.3"/>
  <cols>
    <col min="1" max="3" width="8.88671875" style="2"/>
    <col min="4" max="4" width="15" style="2" bestFit="1" customWidth="1"/>
    <col min="5" max="16384" width="8.88671875" style="2"/>
  </cols>
  <sheetData>
    <row r="1" spans="1:26" ht="14.4" customHeight="1" x14ac:dyDescent="0.3">
      <c r="A1" s="7" t="s">
        <v>36</v>
      </c>
      <c r="B1" s="7"/>
      <c r="C1" s="7"/>
      <c r="D1" s="7"/>
      <c r="E1" s="7"/>
      <c r="F1" s="7"/>
      <c r="G1" s="7"/>
      <c r="H1" s="7"/>
      <c r="I1" s="7"/>
      <c r="J1" s="7"/>
      <c r="K1" s="7"/>
      <c r="L1" s="7"/>
      <c r="M1" s="7"/>
      <c r="N1" s="7"/>
      <c r="O1" s="7"/>
      <c r="P1" s="7"/>
      <c r="Q1" s="7"/>
      <c r="R1" s="7"/>
      <c r="S1" s="7"/>
      <c r="T1" s="7"/>
      <c r="U1" s="7"/>
      <c r="V1" s="7"/>
      <c r="W1" s="7"/>
      <c r="X1" s="7"/>
      <c r="Y1" s="7"/>
      <c r="Z1" s="7"/>
    </row>
    <row r="2" spans="1:26" ht="14.4" customHeight="1" x14ac:dyDescent="0.3">
      <c r="A2" s="7"/>
      <c r="B2" s="7"/>
      <c r="C2" s="7"/>
      <c r="D2" s="7"/>
      <c r="E2" s="7"/>
      <c r="F2" s="7"/>
      <c r="G2" s="7"/>
      <c r="H2" s="7"/>
      <c r="I2" s="7"/>
      <c r="J2" s="7"/>
      <c r="K2" s="7"/>
      <c r="L2" s="7"/>
      <c r="M2" s="7"/>
      <c r="N2" s="7"/>
      <c r="O2" s="7"/>
      <c r="P2" s="7"/>
      <c r="Q2" s="7"/>
      <c r="R2" s="7"/>
      <c r="S2" s="7"/>
      <c r="T2" s="7"/>
      <c r="U2" s="7"/>
      <c r="V2" s="7"/>
      <c r="W2" s="7"/>
      <c r="X2" s="7"/>
      <c r="Y2" s="7"/>
      <c r="Z2" s="7"/>
    </row>
    <row r="3" spans="1:26" ht="14.4" customHeight="1" x14ac:dyDescent="0.3">
      <c r="A3" s="7"/>
      <c r="B3" s="7"/>
      <c r="C3" s="7"/>
      <c r="D3" s="7"/>
      <c r="E3" s="7"/>
      <c r="F3" s="7"/>
      <c r="G3" s="7"/>
      <c r="H3" s="7"/>
      <c r="I3" s="7"/>
      <c r="J3" s="7"/>
      <c r="K3" s="7"/>
      <c r="L3" s="7"/>
      <c r="M3" s="7"/>
      <c r="N3" s="7"/>
      <c r="O3" s="7"/>
      <c r="P3" s="7"/>
      <c r="Q3" s="7"/>
      <c r="R3" s="7"/>
      <c r="S3" s="7"/>
      <c r="T3" s="7"/>
      <c r="U3" s="7"/>
      <c r="V3" s="7"/>
      <c r="W3" s="7"/>
      <c r="X3" s="7"/>
      <c r="Y3" s="7"/>
      <c r="Z3" s="7"/>
    </row>
    <row r="4" spans="1:26" ht="17.399999999999999" customHeight="1" x14ac:dyDescent="0.3">
      <c r="A4" s="7"/>
      <c r="B4" s="7"/>
      <c r="C4" s="7"/>
      <c r="D4" s="7"/>
      <c r="E4" s="7"/>
      <c r="F4" s="7"/>
      <c r="G4" s="7"/>
      <c r="H4" s="7"/>
      <c r="I4" s="7"/>
      <c r="J4" s="7"/>
      <c r="K4" s="7"/>
      <c r="L4" s="7"/>
      <c r="M4" s="7"/>
      <c r="N4" s="7"/>
      <c r="O4" s="7"/>
      <c r="P4" s="7"/>
      <c r="Q4" s="7"/>
      <c r="R4" s="7"/>
      <c r="S4" s="7"/>
      <c r="T4" s="7"/>
      <c r="U4" s="7"/>
      <c r="V4" s="7"/>
      <c r="W4" s="7"/>
      <c r="X4" s="7"/>
      <c r="Y4" s="7"/>
      <c r="Z4" s="7"/>
    </row>
    <row r="19" spans="1:25" ht="17.399999999999999" x14ac:dyDescent="0.45">
      <c r="T19" s="6"/>
      <c r="U19" s="6"/>
      <c r="V19" s="6"/>
      <c r="W19" s="6"/>
    </row>
    <row r="20" spans="1:25" ht="17.399999999999999" x14ac:dyDescent="0.45">
      <c r="A20" s="1"/>
      <c r="B20" s="4"/>
      <c r="C20" s="4"/>
      <c r="D20" s="4"/>
      <c r="E20" s="4"/>
      <c r="F20" s="4"/>
      <c r="G20" s="3"/>
      <c r="H20" s="4"/>
      <c r="I20" s="4"/>
      <c r="J20" s="4"/>
      <c r="K20" s="4"/>
      <c r="L20" s="4"/>
      <c r="M20" s="1"/>
      <c r="N20" s="4"/>
      <c r="O20" s="4"/>
      <c r="Q20" s="4"/>
      <c r="R20" s="4"/>
      <c r="S20" s="4"/>
      <c r="T20" s="5"/>
      <c r="U20" s="5"/>
      <c r="V20" s="5"/>
      <c r="W20" s="5"/>
      <c r="X20" s="5"/>
      <c r="Y20" s="5"/>
    </row>
    <row r="38" spans="1:22" ht="17.399999999999999" x14ac:dyDescent="0.45">
      <c r="A38" s="1"/>
      <c r="B38" s="4"/>
      <c r="C38" s="4"/>
      <c r="D38" s="4"/>
      <c r="E38" s="4"/>
      <c r="F38" s="4"/>
      <c r="G38" s="1"/>
      <c r="H38" s="4"/>
      <c r="I38" s="4"/>
      <c r="J38" s="4"/>
      <c r="K38" s="4"/>
      <c r="L38" s="4"/>
      <c r="M38" s="4"/>
      <c r="N38" s="4"/>
      <c r="O38" s="1"/>
      <c r="P38" s="4"/>
      <c r="Q38" s="4"/>
      <c r="R38" s="4"/>
      <c r="S38" s="4"/>
      <c r="T38" s="4"/>
      <c r="U38" s="4"/>
      <c r="V38" s="4"/>
    </row>
    <row r="56" spans="1:1" x14ac:dyDescent="0.3">
      <c r="A56" s="1"/>
    </row>
  </sheetData>
  <mergeCells count="2">
    <mergeCell ref="T19:W19"/>
    <mergeCell ref="A1:Z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E811851-E125-4852-89BA-0C6FE4B6A334}">
  <ds:schemaRefs/>
</ds:datastoreItem>
</file>

<file path=customXml/itemProps2.xml><?xml version="1.0" encoding="utf-8"?>
<ds:datastoreItem xmlns:ds="http://schemas.openxmlformats.org/officeDocument/2006/customXml" ds:itemID="{B886960F-9617-40B5-9226-17308F3D0E2A}">
  <ds:schemaRefs/>
</ds:datastoreItem>
</file>

<file path=customXml/itemProps3.xml><?xml version="1.0" encoding="utf-8"?>
<ds:datastoreItem xmlns:ds="http://schemas.openxmlformats.org/officeDocument/2006/customXml" ds:itemID="{297C0A82-F71D-49AD-A33D-990D5E102203}">
  <ds:schemaRefs/>
</ds:datastoreItem>
</file>

<file path=customXml/itemProps4.xml><?xml version="1.0" encoding="utf-8"?>
<ds:datastoreItem xmlns:ds="http://schemas.openxmlformats.org/officeDocument/2006/customXml" ds:itemID="{FAC2001F-6918-4AAA-97B1-CC2D0E44E101}">
  <ds:schemaRefs/>
</ds:datastoreItem>
</file>

<file path=customXml/itemProps5.xml><?xml version="1.0" encoding="utf-8"?>
<ds:datastoreItem xmlns:ds="http://schemas.openxmlformats.org/officeDocument/2006/customXml" ds:itemID="{CF39E80D-C24A-42FF-B965-DD13CFD0ACFE}">
  <ds:schemaRefs/>
</ds:datastoreItem>
</file>

<file path=customXml/itemProps6.xml><?xml version="1.0" encoding="utf-8"?>
<ds:datastoreItem xmlns:ds="http://schemas.openxmlformats.org/officeDocument/2006/customXml" ds:itemID="{626B8C93-F21C-4FF1-8AF9-C697642F7A92}">
  <ds:schemaRefs/>
</ds:datastoreItem>
</file>

<file path=customXml/itemProps7.xml><?xml version="1.0" encoding="utf-8"?>
<ds:datastoreItem xmlns:ds="http://schemas.openxmlformats.org/officeDocument/2006/customXml" ds:itemID="{FF817A36-C8DB-4E48-A5E2-875632CB5165}">
  <ds:schemaRefs/>
</ds:datastoreItem>
</file>

<file path=customXml/itemProps8.xml><?xml version="1.0" encoding="utf-8"?>
<ds:datastoreItem xmlns:ds="http://schemas.openxmlformats.org/officeDocument/2006/customXml" ds:itemID="{3BC11D82-D393-4695-AFBF-B58FE1D4AEF7}">
  <ds:schemaRefs/>
</ds:datastoreItem>
</file>

<file path=customXml/itemProps9.xml><?xml version="1.0" encoding="utf-8"?>
<ds:datastoreItem xmlns:ds="http://schemas.openxmlformats.org/officeDocument/2006/customXml" ds:itemID="{22B02AB2-AB93-416C-B9C7-E6A0631C6590}">
  <ds:schemaRefs/>
</ds:datastoreItem>
</file>

<file path=customXml/itemProps10.xml><?xml version="1.0" encoding="utf-8"?>
<ds:datastoreItem xmlns:ds="http://schemas.openxmlformats.org/officeDocument/2006/customXml" ds:itemID="{9C78C67B-19E5-4022-8DE9-EEA75DD3D242}">
  <ds:schemaRefs/>
</ds:datastoreItem>
</file>

<file path=customXml/itemProps11.xml><?xml version="1.0" encoding="utf-8"?>
<ds:datastoreItem xmlns:ds="http://schemas.openxmlformats.org/officeDocument/2006/customXml" ds:itemID="{ACE8C0CC-9A60-4E62-8C9D-71AFCF8E1530}">
  <ds:schemaRefs/>
</ds:datastoreItem>
</file>

<file path=customXml/itemProps12.xml><?xml version="1.0" encoding="utf-8"?>
<ds:datastoreItem xmlns:ds="http://schemas.openxmlformats.org/officeDocument/2006/customXml" ds:itemID="{8D5DA3FE-66CD-41A7-AF1A-7AF5959D3E5E}">
  <ds:schemaRefs/>
</ds:datastoreItem>
</file>

<file path=customXml/itemProps13.xml><?xml version="1.0" encoding="utf-8"?>
<ds:datastoreItem xmlns:ds="http://schemas.openxmlformats.org/officeDocument/2006/customXml" ds:itemID="{4945241C-0FD7-4401-AF85-7B51B7C8F769}">
  <ds:schemaRefs/>
</ds:datastoreItem>
</file>

<file path=customXml/itemProps14.xml><?xml version="1.0" encoding="utf-8"?>
<ds:datastoreItem xmlns:ds="http://schemas.openxmlformats.org/officeDocument/2006/customXml" ds:itemID="{2CD1C4E8-D5C1-479A-BE9C-73FCE063887A}">
  <ds:schemaRefs/>
</ds:datastoreItem>
</file>

<file path=customXml/itemProps15.xml><?xml version="1.0" encoding="utf-8"?>
<ds:datastoreItem xmlns:ds="http://schemas.openxmlformats.org/officeDocument/2006/customXml" ds:itemID="{3BE7CE36-9CF8-498B-A794-42FC5C67BA47}">
  <ds:schemaRefs/>
</ds:datastoreItem>
</file>

<file path=customXml/itemProps16.xml><?xml version="1.0" encoding="utf-8"?>
<ds:datastoreItem xmlns:ds="http://schemas.openxmlformats.org/officeDocument/2006/customXml" ds:itemID="{0D1E794D-8ABF-453E-9506-2B4014EB2109}">
  <ds:schemaRefs/>
</ds:datastoreItem>
</file>

<file path=customXml/itemProps17.xml><?xml version="1.0" encoding="utf-8"?>
<ds:datastoreItem xmlns:ds="http://schemas.openxmlformats.org/officeDocument/2006/customXml" ds:itemID="{3D496D30-24F4-4F4B-BBAF-2872FC34C3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Onyegbuchulam</dc:creator>
  <cp:lastModifiedBy>David Onyegbuchulam</cp:lastModifiedBy>
  <dcterms:created xsi:type="dcterms:W3CDTF">2024-04-06T13:15:26Z</dcterms:created>
  <dcterms:modified xsi:type="dcterms:W3CDTF">2024-04-30T15:14:43Z</dcterms:modified>
</cp:coreProperties>
</file>